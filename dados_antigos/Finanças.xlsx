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_Fabio" sheetId="1" r:id="rId5"/>
    <sheet state="visible" name="2022_Fabio" sheetId="2" r:id="rId6"/>
    <sheet state="visible" name="Registros Detalhad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3463,96 :: Férias</t>
      </text>
    </comment>
    <comment authorId="0" ref="D8">
      <text>
        <t xml:space="preserve">4,01 - Saldo CashBack na conta AME
4,50 - Correção de Saldo 07/02/2022
0,06 - Correção de Saldo 10/02/2022</t>
      </text>
    </comment>
    <comment authorId="0" ref="H8">
      <text>
        <t xml:space="preserve">2600 :: Resgate do investimento C6
200 :: Empréstimo Mercado Livre
246 :: Fatura Melyssa</t>
      </text>
    </comment>
    <comment authorId="0" ref="I8">
      <text>
        <t xml:space="preserve">300 :: Possível Empréstimo</t>
      </text>
    </comment>
    <comment authorId="0" ref="H18">
      <text>
        <t xml:space="preserve">28,71</t>
      </text>
    </comment>
    <comment authorId="0" ref="I18">
      <text>
        <t xml:space="preserve">14,99 :: Anuidade
14,90 :: Amazon Prime
6,90 :: Metro
105 :: Academia Junho
150 :: Ração Cachorros</t>
      </text>
    </comment>
    <comment authorId="0" ref="J18">
      <text>
        <t xml:space="preserve">14,99 :: Anuidade
14,90 :: Amazon Prime</t>
      </text>
    </comment>
    <comment authorId="0" ref="K18">
      <text>
        <t xml:space="preserve">14,99 :: Anuidade
14,90 :: Amazon Prime</t>
      </text>
    </comment>
    <comment authorId="0" ref="L18">
      <text>
        <t xml:space="preserve">14,99 :: Anuidade
14,90 :: Amazon Prime</t>
      </text>
    </comment>
    <comment authorId="0" ref="M18">
      <text>
        <t xml:space="preserve">14,99 :: Anuidade
14,90 :: Amazon Prime</t>
      </text>
    </comment>
    <comment authorId="0" ref="N18">
      <text>
        <t xml:space="preserve">14,99 :: Anuidade
14,90 :: Amazon Prime</t>
      </text>
    </comment>
    <comment authorId="0" ref="H19">
      <text>
        <t xml:space="preserve">4,65</t>
      </text>
    </comment>
    <comment authorId="0" ref="I19">
      <text>
        <t xml:space="preserve">20*5 :: ChatGPT
14,99 :: Mercado Livre</t>
      </text>
    </comment>
    <comment authorId="0" ref="J19">
      <text>
        <t xml:space="preserve">20*5 :: ChatGPT
14,99 :: Mercado Livre</t>
      </text>
    </comment>
    <comment authorId="0" ref="K19">
      <text>
        <t xml:space="preserve">20*5 :: ChatGPT
14,99 :: Mercado Livre</t>
      </text>
    </comment>
    <comment authorId="0" ref="L19">
      <text>
        <t xml:space="preserve">20*5 :: ChatGPT
14,99 :: Mercado Livre</t>
      </text>
    </comment>
    <comment authorId="0" ref="M19">
      <text>
        <t xml:space="preserve">20*5 :: ChatGPT
14,99 :: Mercado Livre</t>
      </text>
    </comment>
    <comment authorId="0" ref="N19">
      <text>
        <t xml:space="preserve">20*5 :: ChatGPT
14,99 :: Mercado Livre</t>
      </text>
    </comment>
    <comment authorId="0" ref="I20">
      <text>
        <t xml:space="preserve">39,90 :: Netflix
20,00 :: Wix</t>
      </text>
    </comment>
    <comment authorId="0" ref="J20">
      <text>
        <t xml:space="preserve">39,90 :: Netflix
20,00 :: Wix</t>
      </text>
    </comment>
    <comment authorId="0" ref="K20">
      <text>
        <t xml:space="preserve">39,90 :: Netflix
20,00 :: Wix</t>
      </text>
    </comment>
    <comment authorId="0" ref="L20">
      <text>
        <t xml:space="preserve">39,90 :: Netflix
20,00 :: Wix</t>
      </text>
    </comment>
    <comment authorId="0" ref="M20">
      <text>
        <t xml:space="preserve">39,90 :: Netflix
20,00 :: Wix</t>
      </text>
    </comment>
    <comment authorId="0" ref="N20">
      <text>
        <t xml:space="preserve">39,90 :: Netflix
20,00 :: Wix</t>
      </text>
    </comment>
    <comment authorId="0" ref="I21">
      <text>
        <t xml:space="preserve">618,40 :: presencial de junho</t>
      </text>
    </comment>
    <comment authorId="0" ref="J21">
      <text>
        <t xml:space="preserve">230 :: pets</t>
      </text>
    </comment>
    <comment authorId="0" ref="H22">
      <text>
        <t xml:space="preserve">6,01 Limite</t>
      </text>
    </comment>
    <comment authorId="0" ref="H23">
      <text>
        <t xml:space="preserve">11,00 limite
89,18 :: Mercado 19/05</t>
      </text>
    </comment>
    <comment authorId="0" ref="I24">
      <text>
        <t xml:space="preserve">104 :: 1/2 Mercado Livre</t>
      </text>
    </comment>
    <comment authorId="0" ref="J24">
      <text>
        <t xml:space="preserve">104 :: 2/2 Mercado Livre</t>
      </text>
    </comment>
    <comment authorId="0" ref="G25">
      <text>
        <t xml:space="preserve">30,00 :: Presencial não anotado
16,00 :: Estacionamento
37,47 :: Almoço terça
43,99 :: Almoço Quarta
25,35 :: Itens básicos seg presenc
37,47 :: Almoço Segunda Presenc
32,90 :: Almoço terça</t>
      </text>
    </comment>
    <comment authorId="0" ref="H25">
      <text>
        <t xml:space="preserve">68,75 :: Café</t>
      </text>
    </comment>
    <comment authorId="0" ref="J25">
      <text>
        <t xml:space="preserve">Comprando também o café</t>
      </text>
    </comment>
    <comment authorId="0" ref="L25">
      <text>
        <t xml:space="preserve">Comprando também o Café.</t>
      </text>
    </comment>
    <comment authorId="0" ref="N25">
      <text>
        <t xml:space="preserve">Comprando também o Café.</t>
      </text>
    </comment>
    <comment authorId="0" ref="G26">
      <text>
        <t xml:space="preserve">20,01 :: 30/05
</t>
      </text>
    </comment>
    <comment authorId="0" ref="G27">
      <text>
        <t xml:space="preserve">30,00 :: Cabelo
24,99 :: Remédio
100,00 :: Combustível
23,48 :: remédio + yogo pro
8,22 :: Aveia</t>
      </text>
    </comment>
    <comment authorId="0" ref="H27">
      <text>
        <t xml:space="preserve">60 :: cabelo 2x</t>
      </text>
    </comment>
    <comment authorId="0" ref="I27">
      <text>
        <t xml:space="preserve">60 :: cabelo 2x</t>
      </text>
    </comment>
    <comment authorId="0" ref="J27">
      <text>
        <t xml:space="preserve">60 :: cabelo 2x</t>
      </text>
    </comment>
    <comment authorId="0" ref="K27">
      <text>
        <t xml:space="preserve">60 :: cabelo 2x</t>
      </text>
    </comment>
    <comment authorId="0" ref="L27">
      <text>
        <t xml:space="preserve">60 :: cabelo 2x</t>
      </text>
    </comment>
    <comment authorId="0" ref="M27">
      <text>
        <t xml:space="preserve">60 :: cabelo 2x</t>
      </text>
    </comment>
    <comment authorId="0" ref="N27">
      <text>
        <t xml:space="preserve">60 :: cabelo 2x</t>
      </text>
    </comment>
    <comment authorId="0" ref="G29">
      <text>
        <t xml:space="preserve">328,71 :: acordo das mei</t>
      </text>
    </comment>
    <comment authorId="0" ref="H29">
      <text>
        <t xml:space="preserve">325,94 :: DASMEI - Acordo
198,84 :: Acordo UNOPAR</t>
      </text>
    </comment>
    <comment authorId="0" ref="I29">
      <text>
        <t xml:space="preserve">325,94 :: DASMEI - Acordo</t>
      </text>
    </comment>
    <comment authorId="0" ref="J29">
      <text>
        <t xml:space="preserve">325,94 :: DASMEI - Acordo</t>
      </text>
    </comment>
    <comment authorId="0" ref="K29">
      <text>
        <t xml:space="preserve">325,94 :: DASMEI - Acordo</t>
      </text>
    </comment>
    <comment authorId="0" ref="L29">
      <text>
        <t xml:space="preserve">325,94 :: DASMEI - Acordo</t>
      </text>
    </comment>
    <comment authorId="0" ref="M29">
      <text>
        <t xml:space="preserve">325,94 :: DASMEI - Acordo</t>
      </text>
    </comment>
    <comment authorId="0" ref="N29">
      <text>
        <t xml:space="preserve">325,94 :: DASMEI - Acordo</t>
      </text>
    </comment>
    <comment authorId="0" ref="G31">
      <text>
        <t xml:space="preserve">Correção de conta para utilizar a planilha a partir de Junho
20,30 :: taxa do banco
2,80 :: taxa do banco</t>
      </text>
    </comment>
    <comment authorId="0" ref="H31">
      <text>
        <t xml:space="preserve">79,80 :: Taxa banco Santander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4,01 - Saldo CashBack na conta AME
4,50 - Correção de Saldo 07/02/2022
0,06 - Correção de Saldo 10/02/2022</t>
      </text>
    </comment>
    <comment authorId="0" ref="L8">
      <text>
        <t xml:space="preserve">Férias</t>
      </text>
    </comment>
    <comment authorId="0" ref="D19">
      <text>
        <t xml:space="preserve">Pago 01/01</t>
      </text>
    </comment>
    <comment authorId="0" ref="E19">
      <text>
        <t xml:space="preserve">39,90 - Netflix
19,98 - Drogaria 07/02/2022
7,40 - Shopping 06/02/2022
13,90 - Água 10/02/2022
10,90 - Drogaria 12/02/2022</t>
      </text>
    </comment>
    <comment authorId="0" ref="D22">
      <text>
        <t xml:space="preserve">24.90 - GloboPlay
39,90 - Netflix (Pg Cartão Nubank)</t>
      </text>
    </comment>
    <comment authorId="0" ref="D25">
      <text>
        <t xml:space="preserve">147,9 - Ração Tony
20,00 - Ração Gatos 06/02/2022
20,00 - Ração Gatos 15/02/2022</t>
      </text>
    </comment>
    <comment authorId="0" ref="D26">
      <text>
        <t xml:space="preserve">64,00+49,86 - Shopping
86 - Shopping
65,00 - Quintal do Farofão
40,00 Bar do Léo
55,00 Bar Sepetiba
34,00 - Bobs 11/02/2022
18,48 - Sorvete Sepetiba 15/02
</t>
      </text>
    </comment>
    <comment authorId="0" ref="C30">
      <text>
        <t xml:space="preserve">500 - Tênis e meia
400 - Casa e Vídeo (Cafeteira, etc)</t>
      </text>
    </comment>
    <comment authorId="0" ref="D30">
      <text>
        <t xml:space="preserve">2.754 - Compra da TV
500 - Pag.
26,96 - drogaria
12.90 - Extensão para Sepetiba
15,00 - Hélice Ventilador Sepetiba
4,20 - Casa e Vídeo
35,08 - Pix 31/01
30,00 - Carteira 31/01
17,99 - Tofani ?? 31/01
97,93 - Bolsa Melyssa
25,80 - Gel e Alicate de unha 31/01
14,00 - Troco Alessandra Sogra
15,07 - Correção de Saldo
6,00 - Temperos
12,00 - Salgado 08/02/2022
60,00 - Roupa Melyssa 08/02/2022
25,00 - Queijo 08/02/2022
25,00 - Farmacia 09/02/2022
18,99 - Refrigerante CeV 11/02
15,00 - hélice vent. 15/02
2,97 - Correção de Saldo 15/02</t>
      </text>
    </comment>
  </commentList>
</comments>
</file>

<file path=xl/sharedStrings.xml><?xml version="1.0" encoding="utf-8"?>
<sst xmlns="http://schemas.openxmlformats.org/spreadsheetml/2006/main" count="200" uniqueCount="79">
  <si>
    <t>Entradas</t>
  </si>
  <si>
    <t>Cheque Especial</t>
  </si>
  <si>
    <t>Cod</t>
  </si>
  <si>
    <t>Descrição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</si>
  <si>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</si>
  <si>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</si>
  <si>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</si>
  <si>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</si>
  <si>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</si>
  <si>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</si>
  <si>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</si>
  <si>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</si>
  <si>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</si>
  <si>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</si>
  <si>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</si>
  <si>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</si>
  <si>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Saldo Mês Anterior</t>
  </si>
  <si>
    <t>Sal. Fabio</t>
  </si>
  <si>
    <t>Sal Extra</t>
  </si>
  <si>
    <t>=(2572,21+1714,81)-643,06</t>
  </si>
  <si>
    <t>Empresa</t>
  </si>
  <si>
    <t>Outros</t>
  </si>
  <si>
    <t>Saldo Entrada</t>
  </si>
  <si>
    <t>Total Entrada</t>
  </si>
  <si>
    <t>Saídas</t>
  </si>
  <si>
    <t>Total no Ano</t>
  </si>
  <si>
    <t>Casa</t>
  </si>
  <si>
    <t>Condomínio</t>
  </si>
  <si>
    <t>NET</t>
  </si>
  <si>
    <t>Celular</t>
  </si>
  <si>
    <t>Card Carrefour</t>
  </si>
  <si>
    <t>Card Trigg</t>
  </si>
  <si>
    <t>Card NuBank</t>
  </si>
  <si>
    <t>Card Neon</t>
  </si>
  <si>
    <t>Card C6</t>
  </si>
  <si>
    <t>Card PAN</t>
  </si>
  <si>
    <t>Empréstimo</t>
  </si>
  <si>
    <t>Presencial</t>
  </si>
  <si>
    <t>Pets</t>
  </si>
  <si>
    <t>Uber</t>
  </si>
  <si>
    <t>Acordo</t>
  </si>
  <si>
    <t>Academia</t>
  </si>
  <si>
    <t>Complemento</t>
  </si>
  <si>
    <t>Total Saída</t>
  </si>
  <si>
    <t>Saldo</t>
  </si>
  <si>
    <t>Saldo total mês</t>
  </si>
  <si>
    <t>Saldo Cheque Especial</t>
  </si>
  <si>
    <t>Créditos no ano</t>
  </si>
  <si>
    <t>Débitos no ano</t>
  </si>
  <si>
    <t>Saldo no ano</t>
  </si>
  <si>
    <t>FECHAMENTO</t>
  </si>
  <si>
    <t>Pag. Empréstimo Melyssa</t>
  </si>
  <si>
    <t>Live Tim</t>
  </si>
  <si>
    <t>Internet Sepetiba</t>
  </si>
  <si>
    <t>Santander</t>
  </si>
  <si>
    <t>Itaú</t>
  </si>
  <si>
    <t>Serviços Streaming</t>
  </si>
  <si>
    <t>Esposa</t>
  </si>
  <si>
    <t>Empréstimo para Melyssa</t>
  </si>
  <si>
    <t>Rolé</t>
  </si>
  <si>
    <t>Plano Dental - Pais</t>
  </si>
  <si>
    <t>Alimentação</t>
  </si>
  <si>
    <t>Fabio</t>
  </si>
  <si>
    <t>Histórico</t>
  </si>
  <si>
    <t>Categoria</t>
  </si>
  <si>
    <t>Data</t>
  </si>
  <si>
    <t>Mês</t>
  </si>
  <si>
    <t>N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</si>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</sst>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"/>
    <numFmt numFmtId="165" formatCode="_(&quot;R$ &quot;* #,##0.00_);_(&quot;R$ &quot;* \(#,##0.00\);_(&quot;R$ &quot;* &quot;-&quot;??_);_(@_)"/>
    <numFmt numFmtId="166" formatCode="dd/mm/yyyy"/>
  </numFmts>
  <fonts count="15">
    <font>
      <sz val="10.0"/>
      <color rgb="FF000000"/>
      <name val="Arial"/>
      <scheme val="minor"/>
    </font>
    <font>
      <b/>
      <sz val="8.0"/>
      <color rgb="FF000000"/>
      <name val="Verdana"/>
    </font>
    <font>
      <sz val="10.0"/>
      <color theme="1"/>
      <name val="Arial"/>
    </font>
    <font>
      <b/>
      <sz val="8.0"/>
      <color rgb="FFFFFFFF"/>
      <name val="Verdana"/>
    </font>
    <font>
      <sz val="8.0"/>
      <color rgb="FFFFFFFF"/>
      <name val="Verdana"/>
    </font>
    <font>
      <sz val="8.0"/>
      <color theme="1"/>
      <name val="Arial"/>
    </font>
    <font>
      <b/>
      <sz val="8.0"/>
      <color theme="1"/>
      <name val="Verdana"/>
    </font>
    <font>
      <sz val="8.0"/>
      <color rgb="FF000000"/>
      <name val="Verdana"/>
    </font>
    <font>
      <sz val="8.0"/>
      <color theme="1"/>
      <name val="Verdana"/>
    </font>
    <font>
      <strike/>
      <sz val="8.0"/>
      <color theme="1"/>
      <name val="Verdana"/>
    </font>
    <font>
      <i/>
      <sz val="8.0"/>
      <color rgb="FF000000"/>
      <name val="Verdana"/>
    </font>
    <font/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CF305"/>
        <bgColor rgb="FFFCF305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333399"/>
        <bgColor rgb="FF333399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006411"/>
        <bgColor rgb="FF006411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2CC"/>
        <bgColor rgb="FFFFF2CC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/>
      <bottom/>
    </border>
    <border>
      <left/>
      <right/>
    </border>
    <border>
      <left/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 style="medium">
        <color rgb="FFFCF305"/>
      </left>
      <right style="medium">
        <color rgb="FFFCF305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</border>
    <border>
      <right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bottom/>
    </border>
    <border>
      <right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  <xf borderId="0" fillId="3" fontId="3" numFmtId="0" xfId="0" applyAlignment="1" applyFill="1" applyFont="1">
      <alignment horizontal="center" readingOrder="0" shrinkToFit="1" wrapText="0"/>
    </xf>
    <xf borderId="4" fillId="3" fontId="3" numFmtId="0" xfId="0" applyAlignment="1" applyBorder="1" applyFont="1">
      <alignment horizontal="center" readingOrder="0" shrinkToFit="1" wrapText="0"/>
    </xf>
    <xf borderId="4" fillId="3" fontId="4" numFmtId="0" xfId="0" applyAlignment="1" applyBorder="1" applyFont="1">
      <alignment horizontal="center" readingOrder="0" shrinkToFit="0" wrapText="0"/>
    </xf>
    <xf borderId="5" fillId="4" fontId="5" numFmtId="0" xfId="0" applyAlignment="1" applyBorder="1" applyFill="1" applyFont="1">
      <alignment horizontal="left" readingOrder="0" shrinkToFit="0" wrapText="0"/>
    </xf>
    <xf borderId="5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5" fontId="6" numFmtId="0" xfId="0" applyAlignment="1" applyFill="1" applyFont="1">
      <alignment horizontal="center" readingOrder="0" shrinkToFit="0" wrapText="0"/>
    </xf>
    <xf borderId="6" fillId="5" fontId="6" numFmtId="0" xfId="0" applyAlignment="1" applyBorder="1" applyFont="1">
      <alignment horizontal="center" readingOrder="0" shrinkToFit="0" wrapText="0"/>
    </xf>
    <xf borderId="6" fillId="5" fontId="6" numFmtId="0" xfId="0" applyAlignment="1" applyBorder="1" applyFont="1">
      <alignment horizontal="center" shrinkToFit="0" wrapText="0"/>
    </xf>
    <xf borderId="7" fillId="4" fontId="2" numFmtId="0" xfId="0" applyAlignment="1" applyBorder="1" applyFont="1">
      <alignment shrinkToFit="0" wrapText="0"/>
    </xf>
    <xf borderId="8" fillId="0" fontId="2" numFmtId="0" xfId="0" applyAlignment="1" applyBorder="1" applyFont="1">
      <alignment shrinkToFit="0" wrapText="0"/>
    </xf>
    <xf borderId="6" fillId="6" fontId="7" numFmtId="0" xfId="0" applyAlignment="1" applyBorder="1" applyFill="1" applyFont="1">
      <alignment horizontal="center" readingOrder="0" shrinkToFit="0" wrapText="0"/>
    </xf>
    <xf borderId="9" fillId="6" fontId="7" numFmtId="164" xfId="0" applyAlignment="1" applyBorder="1" applyFont="1" applyNumberFormat="1">
      <alignment horizontal="center" readingOrder="0" shrinkToFit="0" wrapText="0"/>
    </xf>
    <xf borderId="9" fillId="7" fontId="7" numFmtId="4" xfId="0" applyAlignment="1" applyBorder="1" applyFill="1" applyFont="1" applyNumberFormat="1">
      <alignment horizontal="center" readingOrder="0" shrinkToFit="0" wrapText="0"/>
    </xf>
    <xf borderId="6" fillId="0" fontId="8" numFmtId="0" xfId="0" applyAlignment="1" applyBorder="1" applyFont="1">
      <alignment horizontal="center" readingOrder="0" shrinkToFit="0" wrapText="0"/>
    </xf>
    <xf borderId="6" fillId="0" fontId="8" numFmtId="164" xfId="0" applyAlignment="1" applyBorder="1" applyFont="1" applyNumberFormat="1">
      <alignment horizontal="center" readingOrder="0" shrinkToFit="0" wrapText="0"/>
    </xf>
    <xf borderId="6" fillId="4" fontId="8" numFmtId="164" xfId="0" applyAlignment="1" applyBorder="1" applyFont="1" applyNumberFormat="1">
      <alignment horizontal="center" readingOrder="0" shrinkToFit="0" wrapText="0"/>
    </xf>
    <xf borderId="6" fillId="8" fontId="8" numFmtId="164" xfId="0" applyAlignment="1" applyBorder="1" applyFill="1" applyFont="1" applyNumberFormat="1">
      <alignment horizontal="center" readingOrder="0" shrinkToFit="0" wrapText="0"/>
    </xf>
    <xf borderId="7" fillId="4" fontId="2" numFmtId="0" xfId="0" applyAlignment="1" applyBorder="1" applyFont="1">
      <alignment readingOrder="0" shrinkToFit="0" wrapText="0"/>
    </xf>
    <xf quotePrefix="1" borderId="6" fillId="8" fontId="8" numFmtId="0" xfId="0" applyAlignment="1" applyBorder="1" applyFont="1">
      <alignment horizontal="center" readingOrder="0" shrinkToFit="0" wrapText="0"/>
    </xf>
    <xf borderId="10" fillId="0" fontId="8" numFmtId="0" xfId="0" applyAlignment="1" applyBorder="1" applyFont="1">
      <alignment horizontal="center" readingOrder="0" shrinkToFit="0" wrapText="0"/>
    </xf>
    <xf borderId="6" fillId="0" fontId="9" numFmtId="164" xfId="0" applyAlignment="1" applyBorder="1" applyFont="1" applyNumberFormat="1">
      <alignment horizontal="center" readingOrder="0" shrinkToFit="0" wrapText="0"/>
    </xf>
    <xf borderId="6" fillId="0" fontId="8" numFmtId="164" xfId="0" applyAlignment="1" applyBorder="1" applyFont="1" applyNumberFormat="1">
      <alignment horizontal="center" shrinkToFit="0" wrapText="0"/>
    </xf>
    <xf borderId="6" fillId="9" fontId="8" numFmtId="0" xfId="0" applyAlignment="1" applyBorder="1" applyFill="1" applyFont="1">
      <alignment horizontal="center" readingOrder="0" shrinkToFit="0" wrapText="0"/>
    </xf>
    <xf borderId="6" fillId="10" fontId="8" numFmtId="164" xfId="0" applyAlignment="1" applyBorder="1" applyFill="1" applyFont="1" applyNumberFormat="1">
      <alignment horizontal="center" readingOrder="0" shrinkToFit="0" wrapText="0"/>
    </xf>
    <xf borderId="0" fillId="11" fontId="3" numFmtId="0" xfId="0" applyAlignment="1" applyFill="1" applyFont="1">
      <alignment horizontal="center" readingOrder="0" shrinkToFit="0" wrapText="0"/>
    </xf>
    <xf borderId="6" fillId="11" fontId="3" numFmtId="0" xfId="0" applyAlignment="1" applyBorder="1" applyFont="1">
      <alignment horizontal="center" readingOrder="0" shrinkToFit="0" wrapText="0"/>
    </xf>
    <xf borderId="6" fillId="11" fontId="4" numFmtId="164" xfId="0" applyAlignment="1" applyBorder="1" applyFont="1" applyNumberFormat="1">
      <alignment horizontal="center" shrinkToFit="0" wrapText="0"/>
    </xf>
    <xf borderId="8" fillId="4" fontId="2" numFmtId="0" xfId="0" applyAlignment="1" applyBorder="1" applyFont="1">
      <alignment shrinkToFit="0" wrapText="0"/>
    </xf>
    <xf borderId="0" fillId="12" fontId="1" numFmtId="0" xfId="0" applyAlignment="1" applyFill="1" applyFont="1">
      <alignment horizontal="center" readingOrder="0" shrinkToFit="1" vertical="center" wrapText="0"/>
    </xf>
    <xf borderId="1" fillId="12" fontId="1" numFmtId="165" xfId="0" applyAlignment="1" applyBorder="1" applyFont="1" applyNumberFormat="1">
      <alignment horizontal="center" readingOrder="0" shrinkToFit="1" vertical="center" wrapText="0"/>
    </xf>
    <xf borderId="6" fillId="12" fontId="10" numFmtId="164" xfId="0" applyAlignment="1" applyBorder="1" applyFont="1" applyNumberFormat="1">
      <alignment horizontal="center" shrinkToFit="0" vertical="center" wrapText="0"/>
    </xf>
    <xf borderId="0" fillId="4" fontId="3" numFmtId="0" xfId="0" applyAlignment="1" applyFont="1">
      <alignment horizontal="center" shrinkToFit="0" wrapText="0"/>
    </xf>
    <xf borderId="11" fillId="4" fontId="3" numFmtId="0" xfId="0" applyAlignment="1" applyBorder="1" applyFont="1">
      <alignment horizontal="center" shrinkToFit="0" wrapText="0"/>
    </xf>
    <xf borderId="11" fillId="4" fontId="4" numFmtId="165" xfId="0" applyAlignment="1" applyBorder="1" applyFont="1" applyNumberFormat="1">
      <alignment shrinkToFit="0" wrapText="0"/>
    </xf>
    <xf borderId="12" fillId="4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vertical="center" wrapText="0"/>
    </xf>
    <xf borderId="9" fillId="13" fontId="1" numFmtId="0" xfId="0" applyAlignment="1" applyBorder="1" applyFill="1" applyFont="1">
      <alignment horizontal="center" readingOrder="0" shrinkToFit="1" wrapText="0"/>
    </xf>
    <xf borderId="9" fillId="13" fontId="1" numFmtId="0" xfId="0" applyAlignment="1" applyBorder="1" applyFont="1">
      <alignment horizontal="center" shrinkToFit="1" wrapText="0"/>
    </xf>
    <xf borderId="9" fillId="5" fontId="6" numFmtId="0" xfId="0" applyAlignment="1" applyBorder="1" applyFont="1">
      <alignment horizontal="center" shrinkToFit="0" wrapText="0"/>
    </xf>
    <xf borderId="13" fillId="12" fontId="8" numFmtId="0" xfId="0" applyAlignment="1" applyBorder="1" applyFont="1">
      <alignment horizontal="center" readingOrder="0"/>
    </xf>
    <xf borderId="14" fillId="0" fontId="11" numFmtId="0" xfId="0" applyBorder="1" applyFont="1"/>
    <xf borderId="15" fillId="0" fontId="11" numFmtId="0" xfId="0" applyBorder="1" applyFont="1"/>
    <xf borderId="6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readingOrder="0"/>
    </xf>
    <xf borderId="6" fillId="0" fontId="8" numFmtId="4" xfId="0" applyAlignment="1" applyBorder="1" applyFont="1" applyNumberFormat="1">
      <alignment readingOrder="0"/>
    </xf>
    <xf borderId="6" fillId="0" fontId="9" numFmtId="4" xfId="0" applyAlignment="1" applyBorder="1" applyFont="1" applyNumberFormat="1">
      <alignment readingOrder="0"/>
    </xf>
    <xf borderId="1" fillId="13" fontId="8" numFmtId="4" xfId="0" applyAlignment="1" applyBorder="1" applyFont="1" applyNumberFormat="1">
      <alignment horizontal="left"/>
    </xf>
    <xf borderId="2" fillId="0" fontId="11" numFmtId="0" xfId="0" applyBorder="1" applyFont="1"/>
    <xf borderId="3" fillId="0" fontId="11" numFmtId="0" xfId="0" applyBorder="1" applyFont="1"/>
    <xf borderId="6" fillId="0" fontId="9" numFmtId="4" xfId="0" applyBorder="1" applyFont="1" applyNumberFormat="1"/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readingOrder="0"/>
    </xf>
    <xf borderId="16" fillId="0" fontId="8" numFmtId="0" xfId="0" applyAlignment="1" applyBorder="1" applyFont="1">
      <alignment readingOrder="0"/>
    </xf>
    <xf borderId="16" fillId="0" fontId="8" numFmtId="4" xfId="0" applyAlignment="1" applyBorder="1" applyFont="1" applyNumberFormat="1">
      <alignment readingOrder="0"/>
    </xf>
    <xf borderId="16" fillId="0" fontId="9" numFmtId="4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2" fillId="0" fontId="8" numFmtId="4" xfId="0" applyAlignment="1" applyBorder="1" applyFont="1" applyNumberFormat="1">
      <alignment readingOrder="0"/>
    </xf>
    <xf borderId="2" fillId="0" fontId="9" numFmtId="4" xfId="0" applyAlignment="1" applyBorder="1" applyFont="1" applyNumberFormat="1">
      <alignment readingOrder="0"/>
    </xf>
    <xf borderId="2" fillId="0" fontId="9" numFmtId="0" xfId="0" applyAlignment="1" applyBorder="1" applyFont="1">
      <alignment readingOrder="0"/>
    </xf>
    <xf borderId="3" fillId="0" fontId="8" numFmtId="4" xfId="0" applyAlignment="1" applyBorder="1" applyFont="1" applyNumberFormat="1">
      <alignment readingOrder="0"/>
    </xf>
    <xf borderId="2" fillId="13" fontId="8" numFmtId="4" xfId="0" applyAlignment="1" applyBorder="1" applyFont="1" applyNumberFormat="1">
      <alignment horizontal="left"/>
    </xf>
    <xf borderId="2" fillId="0" fontId="8" numFmtId="4" xfId="0" applyBorder="1" applyFont="1" applyNumberFormat="1"/>
    <xf borderId="2" fillId="8" fontId="8" numFmtId="4" xfId="0" applyAlignment="1" applyBorder="1" applyFont="1" applyNumberFormat="1">
      <alignment readingOrder="0"/>
    </xf>
    <xf borderId="2" fillId="4" fontId="9" numFmtId="4" xfId="0" applyAlignment="1" applyBorder="1" applyFont="1" applyNumberFormat="1">
      <alignment readingOrder="0"/>
    </xf>
    <xf borderId="2" fillId="9" fontId="8" numFmtId="4" xfId="0" applyAlignment="1" applyBorder="1" applyFont="1" applyNumberFormat="1">
      <alignment readingOrder="0"/>
    </xf>
    <xf borderId="2" fillId="4" fontId="9" numFmtId="4" xfId="0" applyBorder="1" applyFont="1" applyNumberFormat="1"/>
    <xf borderId="2" fillId="0" fontId="9" numFmtId="4" xfId="0" applyBorder="1" applyFont="1" applyNumberFormat="1"/>
    <xf borderId="2" fillId="0" fontId="6" numFmtId="0" xfId="0" applyAlignment="1" applyBorder="1" applyFont="1">
      <alignment readingOrder="0"/>
    </xf>
    <xf borderId="2" fillId="0" fontId="12" numFmtId="0" xfId="0" applyBorder="1" applyFont="1"/>
    <xf borderId="3" fillId="0" fontId="8" numFmtId="4" xfId="0" applyBorder="1" applyFont="1" applyNumberFormat="1"/>
    <xf borderId="9" fillId="0" fontId="8" numFmtId="0" xfId="0" applyAlignment="1" applyBorder="1" applyFont="1">
      <alignment readingOrder="0"/>
    </xf>
    <xf borderId="9" fillId="0" fontId="9" numFmtId="4" xfId="0" applyBorder="1" applyFont="1" applyNumberFormat="1"/>
    <xf borderId="9" fillId="8" fontId="8" numFmtId="4" xfId="0" applyAlignment="1" applyBorder="1" applyFont="1" applyNumberFormat="1">
      <alignment readingOrder="0"/>
    </xf>
    <xf borderId="9" fillId="0" fontId="8" numFmtId="4" xfId="0" applyBorder="1" applyFont="1" applyNumberFormat="1"/>
    <xf borderId="6" fillId="0" fontId="8" numFmtId="4" xfId="0" applyBorder="1" applyFont="1" applyNumberFormat="1"/>
    <xf borderId="6" fillId="14" fontId="8" numFmtId="0" xfId="0" applyAlignment="1" applyBorder="1" applyFill="1" applyFont="1">
      <alignment readingOrder="0"/>
    </xf>
    <xf borderId="6" fillId="4" fontId="8" numFmtId="4" xfId="0" applyAlignment="1" applyBorder="1" applyFont="1" applyNumberFormat="1">
      <alignment readingOrder="0"/>
    </xf>
    <xf borderId="6" fillId="2" fontId="8" numFmtId="4" xfId="0" applyAlignment="1" applyBorder="1" applyFont="1" applyNumberFormat="1">
      <alignment readingOrder="0"/>
    </xf>
    <xf borderId="6" fillId="9" fontId="8" numFmtId="4" xfId="0" applyAlignment="1" applyBorder="1" applyFont="1" applyNumberFormat="1">
      <alignment readingOrder="0"/>
    </xf>
    <xf borderId="17" fillId="11" fontId="3" numFmtId="0" xfId="0" applyAlignment="1" applyBorder="1" applyFont="1">
      <alignment horizontal="center" readingOrder="0" shrinkToFit="0" wrapText="0"/>
    </xf>
    <xf borderId="18" fillId="11" fontId="4" numFmtId="4" xfId="0" applyAlignment="1" applyBorder="1" applyFont="1" applyNumberFormat="1">
      <alignment horizontal="center" shrinkToFit="0" wrapText="0"/>
    </xf>
    <xf borderId="0" fillId="15" fontId="3" numFmtId="165" xfId="0" applyAlignment="1" applyFill="1" applyFont="1" applyNumberFormat="1">
      <alignment horizontal="center" readingOrder="0" shrinkToFit="1" vertical="center" wrapText="0"/>
    </xf>
    <xf borderId="19" fillId="15" fontId="3" numFmtId="165" xfId="0" applyAlignment="1" applyBorder="1" applyFont="1" applyNumberFormat="1">
      <alignment horizontal="center" readingOrder="0" shrinkToFit="1" vertical="center" wrapText="0"/>
    </xf>
    <xf borderId="20" fillId="16" fontId="4" numFmtId="4" xfId="0" applyAlignment="1" applyBorder="1" applyFill="1" applyFont="1" applyNumberFormat="1">
      <alignment horizontal="center" shrinkToFit="0" vertical="center" wrapText="0"/>
    </xf>
    <xf borderId="8" fillId="0" fontId="2" numFmtId="4" xfId="0" applyAlignment="1" applyBorder="1" applyFont="1" applyNumberFormat="1">
      <alignment shrinkToFit="0" wrapText="0"/>
    </xf>
    <xf borderId="0" fillId="0" fontId="2" numFmtId="4" xfId="0" applyAlignment="1" applyFont="1" applyNumberFormat="1">
      <alignment shrinkToFit="0" wrapText="0"/>
    </xf>
    <xf borderId="0" fillId="4" fontId="8" numFmtId="0" xfId="0" applyAlignment="1" applyFont="1">
      <alignment readingOrder="0" shrinkToFit="0" wrapText="0"/>
    </xf>
    <xf borderId="11" fillId="4" fontId="8" numFmtId="0" xfId="0" applyAlignment="1" applyBorder="1" applyFont="1">
      <alignment readingOrder="0" shrinkToFit="0" wrapText="0"/>
    </xf>
    <xf borderId="12" fillId="4" fontId="8" numFmtId="4" xfId="0" applyAlignment="1" applyBorder="1" applyFont="1" applyNumberFormat="1">
      <alignment readingOrder="0" shrinkToFit="0" wrapText="0"/>
    </xf>
    <xf borderId="12" fillId="4" fontId="8" numFmtId="4" xfId="0" applyAlignment="1" applyBorder="1" applyFont="1" applyNumberFormat="1">
      <alignment shrinkToFit="0" wrapText="0"/>
    </xf>
    <xf borderId="6" fillId="5" fontId="8" numFmtId="4" xfId="0" applyAlignment="1" applyBorder="1" applyFont="1" applyNumberFormat="1">
      <alignment horizontal="center" shrinkToFit="0" wrapText="0"/>
    </xf>
    <xf borderId="0" fillId="5" fontId="8" numFmtId="4" xfId="0" applyAlignment="1" applyFont="1" applyNumberFormat="1">
      <alignment horizontal="center" shrinkToFit="0" wrapText="0"/>
    </xf>
    <xf borderId="0" fillId="13" fontId="8" numFmtId="4" xfId="0" applyAlignment="1" applyFont="1" applyNumberFormat="1">
      <alignment horizontal="left"/>
    </xf>
    <xf borderId="0" fillId="5" fontId="8" numFmtId="0" xfId="0" applyAlignment="1" applyFont="1">
      <alignment shrinkToFit="0" wrapText="0"/>
    </xf>
    <xf borderId="5" fillId="5" fontId="8" numFmtId="0" xfId="0" applyAlignment="1" applyBorder="1" applyFont="1">
      <alignment shrinkToFit="0" wrapText="0"/>
    </xf>
    <xf borderId="0" fillId="5" fontId="8" numFmtId="0" xfId="0" applyFont="1"/>
    <xf borderId="5" fillId="5" fontId="8" numFmtId="0" xfId="0" applyAlignment="1" applyBorder="1" applyFont="1">
      <alignment readingOrder="0" shrinkToFit="0" wrapText="0"/>
    </xf>
    <xf borderId="21" fillId="5" fontId="8" numFmtId="0" xfId="0" applyAlignment="1" applyBorder="1" applyFont="1">
      <alignment readingOrder="0" shrinkToFit="0" vertical="top" wrapText="1"/>
    </xf>
    <xf borderId="22" fillId="5" fontId="8" numFmtId="0" xfId="0" applyAlignment="1" applyBorder="1" applyFont="1">
      <alignment readingOrder="0" shrinkToFit="0" vertical="top" wrapText="1"/>
    </xf>
    <xf borderId="22" fillId="5" fontId="8" numFmtId="4" xfId="0" applyAlignment="1" applyBorder="1" applyFont="1" applyNumberFormat="1">
      <alignment readingOrder="0" shrinkToFit="0" wrapText="0"/>
    </xf>
    <xf borderId="8" fillId="5" fontId="8" numFmtId="0" xfId="0" applyAlignment="1" applyBorder="1" applyFont="1">
      <alignment shrinkToFit="0" wrapText="0"/>
    </xf>
    <xf borderId="23" fillId="2" fontId="6" numFmtId="0" xfId="0" applyAlignment="1" applyBorder="1" applyFont="1">
      <alignment horizontal="center" shrinkToFit="1" vertical="center" wrapText="0"/>
    </xf>
    <xf borderId="24" fillId="0" fontId="11" numFmtId="0" xfId="0" applyBorder="1" applyFont="1"/>
    <xf borderId="25" fillId="0" fontId="11" numFmtId="0" xfId="0" applyBorder="1" applyFont="1"/>
    <xf borderId="23" fillId="2" fontId="6" numFmtId="0" xfId="0" applyAlignment="1" applyBorder="1" applyFont="1">
      <alignment horizontal="center" readingOrder="0" shrinkToFit="1" vertical="center" wrapText="0"/>
    </xf>
    <xf borderId="7" fillId="5" fontId="8" numFmtId="0" xfId="0" applyAlignment="1" applyBorder="1" applyFont="1">
      <alignment shrinkToFit="0" wrapText="0"/>
    </xf>
    <xf borderId="26" fillId="5" fontId="8" numFmtId="0" xfId="0" applyAlignment="1" applyBorder="1" applyFont="1">
      <alignment readingOrder="0" shrinkToFit="0" vertical="top" wrapText="1"/>
    </xf>
    <xf borderId="27" fillId="5" fontId="8" numFmtId="0" xfId="0" applyAlignment="1" applyBorder="1" applyFont="1">
      <alignment readingOrder="0" shrinkToFit="0" vertical="top" wrapText="1"/>
    </xf>
    <xf borderId="27" fillId="5" fontId="8" numFmtId="0" xfId="0" applyAlignment="1" applyBorder="1" applyFont="1">
      <alignment readingOrder="0" shrinkToFit="0" wrapText="0"/>
    </xf>
    <xf borderId="28" fillId="17" fontId="8" numFmtId="164" xfId="0" applyAlignment="1" applyBorder="1" applyFill="1" applyFont="1" applyNumberFormat="1">
      <alignment horizontal="center" shrinkToFit="0" vertical="center" wrapText="0"/>
    </xf>
    <xf borderId="29" fillId="0" fontId="11" numFmtId="0" xfId="0" applyBorder="1" applyFont="1"/>
    <xf borderId="30" fillId="0" fontId="11" numFmtId="0" xfId="0" applyBorder="1" applyFont="1"/>
    <xf borderId="28" fillId="18" fontId="8" numFmtId="164" xfId="0" applyAlignment="1" applyBorder="1" applyFill="1" applyFont="1" applyNumberFormat="1">
      <alignment horizontal="center" shrinkToFit="0" vertical="center" wrapText="0"/>
    </xf>
    <xf borderId="8" fillId="5" fontId="8" numFmtId="0" xfId="0" applyAlignment="1" applyBorder="1" applyFont="1">
      <alignment readingOrder="0" shrinkToFit="0" wrapText="0"/>
    </xf>
    <xf borderId="0" fillId="5" fontId="8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8" fillId="5" fontId="8" numFmtId="4" xfId="0" applyAlignment="1" applyBorder="1" applyFont="1" applyNumberFormat="1">
      <alignment shrinkToFit="0" wrapText="0"/>
    </xf>
    <xf borderId="8" fillId="5" fontId="4" numFmtId="0" xfId="0" applyAlignment="1" applyBorder="1" applyFont="1">
      <alignment readingOrder="0" shrinkToFit="0" wrapText="0"/>
    </xf>
    <xf borderId="0" fillId="19" fontId="2" numFmtId="0" xfId="0" applyAlignment="1" applyFill="1" applyFont="1">
      <alignment shrinkToFit="0" wrapText="0"/>
    </xf>
    <xf borderId="8" fillId="19" fontId="2" numFmtId="0" xfId="0" applyAlignment="1" applyBorder="1" applyFont="1">
      <alignment shrinkToFit="0" wrapText="0"/>
    </xf>
    <xf borderId="8" fillId="19" fontId="2" numFmtId="0" xfId="0" applyAlignment="1" applyBorder="1" applyFont="1">
      <alignment readingOrder="0" shrinkToFit="0" wrapText="0"/>
    </xf>
    <xf borderId="0" fillId="19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31" fillId="0" fontId="2" numFmtId="0" xfId="0" applyAlignment="1" applyBorder="1" applyFont="1">
      <alignment horizontal="center" readingOrder="0" shrinkToFit="0" wrapText="0"/>
    </xf>
    <xf borderId="7" fillId="0" fontId="11" numFmtId="0" xfId="0" applyBorder="1" applyFont="1"/>
    <xf borderId="5" fillId="4" fontId="5" numFmtId="166" xfId="0" applyAlignment="1" applyBorder="1" applyFont="1" applyNumberFormat="1">
      <alignment readingOrder="0" shrinkToFit="0" wrapText="0"/>
    </xf>
    <xf borderId="6" fillId="0" fontId="8" numFmtId="164" xfId="0" applyAlignment="1" applyBorder="1" applyFont="1" applyNumberFormat="1">
      <alignment horizontal="center" readingOrder="0" shrinkToFit="0" wrapText="0"/>
    </xf>
    <xf borderId="6" fillId="20" fontId="8" numFmtId="164" xfId="0" applyAlignment="1" applyBorder="1" applyFill="1" applyFont="1" applyNumberFormat="1">
      <alignment horizontal="center" readingOrder="0" shrinkToFit="0" wrapText="0"/>
    </xf>
    <xf borderId="6" fillId="4" fontId="9" numFmtId="4" xfId="0" applyAlignment="1" applyBorder="1" applyFont="1" applyNumberFormat="1">
      <alignment readingOrder="0"/>
    </xf>
    <xf borderId="6" fillId="4" fontId="9" numFmtId="4" xfId="0" applyBorder="1" applyFont="1" applyNumberFormat="1"/>
    <xf borderId="6" fillId="20" fontId="8" numFmtId="4" xfId="0" applyBorder="1" applyFont="1" applyNumberFormat="1"/>
    <xf borderId="6" fillId="20" fontId="8" numFmtId="4" xfId="0" applyAlignment="1" applyBorder="1" applyFont="1" applyNumberFormat="1">
      <alignment readingOrder="0"/>
    </xf>
    <xf borderId="0" fillId="0" fontId="13" numFmtId="0" xfId="0" applyAlignment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6" fillId="0" fontId="12" numFmtId="0" xfId="0" applyAlignment="1" applyBorder="1" applyFont="1">
      <alignment readingOrder="0"/>
    </xf>
    <xf borderId="6" fillId="0" fontId="14" numFmtId="4" xfId="0" applyAlignment="1" applyBorder="1" applyFont="1" applyNumberFormat="1">
      <alignment horizontal="right" readingOrder="0" shrinkToFit="0" vertical="bottom" wrapText="0"/>
    </xf>
    <xf borderId="6" fillId="0" fontId="14" numFmtId="166" xfId="0" applyAlignment="1" applyBorder="1" applyFont="1" applyNumberFormat="1">
      <alignment horizontal="right" readingOrder="0" shrinkToFit="0" vertical="bottom" wrapText="0"/>
    </xf>
    <xf borderId="6" fillId="13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6">
    <dxf>
      <font>
        <b/>
        <color rgb="FF000000"/>
      </font>
      <fill>
        <patternFill patternType="solid">
          <fgColor rgb="FF1FB714"/>
          <bgColor rgb="FF1FB714"/>
        </patternFill>
      </fill>
      <border/>
    </dxf>
    <dxf>
      <font>
        <b/>
      </font>
      <fill>
        <patternFill patternType="solid">
          <fgColor rgb="FFDD0806"/>
          <bgColor rgb="FFDD0806"/>
        </patternFill>
      </fill>
      <border/>
    </dxf>
    <dxf>
      <font>
        <b/>
        <color rgb="FF000000"/>
      </font>
      <fill>
        <patternFill patternType="solid">
          <fgColor rgb="FFFCF305"/>
          <bgColor rgb="FFFCF305"/>
        </patternFill>
      </fill>
      <border/>
    </dxf>
    <dxf>
      <font>
        <b/>
        <color rgb="FF000000"/>
      </font>
      <fill>
        <patternFill patternType="solid">
          <fgColor rgb="FF1FB714"/>
          <bgColor rgb="FF1FB714"/>
        </patternFill>
      </fill>
      <alignment shrinkToFit="0" wrapText="0"/>
      <border>
        <left/>
        <right/>
        <top/>
        <bottom/>
      </border>
    </dxf>
    <dxf>
      <font>
        <b/>
        <color rgb="FF000000"/>
      </font>
      <fill>
        <patternFill patternType="solid">
          <fgColor rgb="FFFF9900"/>
          <bgColor rgb="FFFF9900"/>
        </patternFill>
      </fill>
      <alignment shrinkToFit="0" wrapText="0"/>
      <border>
        <left/>
        <right/>
        <top/>
        <bottom/>
      </border>
    </dxf>
    <dxf>
      <font>
        <b/>
      </font>
      <fill>
        <patternFill patternType="solid">
          <fgColor rgb="FFDD0806"/>
          <bgColor rgb="FFDD0806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5.13" defaultRowHeight="15.0"/>
  <cols>
    <col customWidth="1" min="1" max="1" width="3.75"/>
    <col customWidth="1" min="2" max="2" width="23.88"/>
    <col customWidth="1" min="3" max="14" width="10.75"/>
    <col customWidth="1" min="15" max="15" width="8.25"/>
    <col customWidth="1" min="16" max="17" width="1.5"/>
  </cols>
  <sheetData>
    <row r="1">
      <c r="A1" s="1"/>
      <c r="B1" s="2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  <c r="N1" s="2"/>
      <c r="O1" s="4"/>
      <c r="P1" s="4"/>
      <c r="Q1" s="5"/>
    </row>
    <row r="2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 t="s">
        <v>1</v>
      </c>
      <c r="O2" s="9">
        <v>-840.0</v>
      </c>
      <c r="P2" s="10"/>
      <c r="Q2" s="11"/>
    </row>
    <row r="3">
      <c r="A3" s="12" t="s">
        <v>2</v>
      </c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5"/>
      <c r="P3" s="16"/>
      <c r="Q3" s="11"/>
    </row>
    <row r="4">
      <c r="A4" s="17">
        <v>1.0</v>
      </c>
      <c r="B4" s="18" t="s">
        <v>16</v>
      </c>
      <c r="C4" s="18"/>
      <c r="D4" s="18">
        <f t="shared" ref="D4:N4" si="1">C33</f>
        <v>5511.93</v>
      </c>
      <c r="E4" s="18">
        <f t="shared" si="1"/>
        <v>22023.86</v>
      </c>
      <c r="F4" s="18">
        <f t="shared" si="1"/>
        <v>28535.79</v>
      </c>
      <c r="G4" s="18">
        <f t="shared" si="1"/>
        <v>35047.72</v>
      </c>
      <c r="H4" s="19">
        <f t="shared" si="1"/>
        <v>-755.51</v>
      </c>
      <c r="I4" s="18">
        <f t="shared" si="1"/>
        <v>-1198.82</v>
      </c>
      <c r="J4" s="18">
        <f t="shared" si="1"/>
        <v>-1743.45</v>
      </c>
      <c r="K4" s="18">
        <f t="shared" si="1"/>
        <v>-1696.34</v>
      </c>
      <c r="L4" s="18">
        <f t="shared" si="1"/>
        <v>-1024.68</v>
      </c>
      <c r="M4" s="18">
        <f t="shared" si="1"/>
        <v>-47.94</v>
      </c>
      <c r="N4" s="18">
        <f t="shared" si="1"/>
        <v>3108.71</v>
      </c>
      <c r="O4" s="15"/>
      <c r="P4" s="16"/>
      <c r="Q4" s="11"/>
    </row>
    <row r="5">
      <c r="A5" s="20">
        <v>2.0</v>
      </c>
      <c r="B5" s="20" t="s">
        <v>17</v>
      </c>
      <c r="C5" s="21">
        <f t="shared" ref="C5:G5" si="2">3562.93+541.52</f>
        <v>4104.45</v>
      </c>
      <c r="D5" s="21">
        <f t="shared" si="2"/>
        <v>4104.45</v>
      </c>
      <c r="E5" s="21">
        <f t="shared" si="2"/>
        <v>4104.45</v>
      </c>
      <c r="F5" s="21">
        <f t="shared" si="2"/>
        <v>4104.45</v>
      </c>
      <c r="G5" s="21">
        <f t="shared" si="2"/>
        <v>4104.45</v>
      </c>
      <c r="H5" s="21">
        <f>3783.85+541.52</f>
        <v>4325.37</v>
      </c>
      <c r="I5" s="21">
        <f t="shared" ref="I5:N5" si="3">4104.45</f>
        <v>4104.45</v>
      </c>
      <c r="J5" s="22">
        <f t="shared" si="3"/>
        <v>4104.45</v>
      </c>
      <c r="K5" s="21">
        <f t="shared" si="3"/>
        <v>4104.45</v>
      </c>
      <c r="L5" s="23">
        <f t="shared" si="3"/>
        <v>4104.45</v>
      </c>
      <c r="M5" s="21">
        <f t="shared" si="3"/>
        <v>4104.45</v>
      </c>
      <c r="N5" s="21">
        <f t="shared" si="3"/>
        <v>4104.45</v>
      </c>
      <c r="O5" s="24"/>
      <c r="P5" s="16"/>
      <c r="Q5" s="11"/>
    </row>
    <row r="6">
      <c r="A6" s="20">
        <v>3.0</v>
      </c>
      <c r="B6" s="20" t="s">
        <v>18</v>
      </c>
      <c r="C6" s="22">
        <v>1500.0</v>
      </c>
      <c r="D6" s="22">
        <f>10000+2500</f>
        <v>12500</v>
      </c>
      <c r="E6" s="22">
        <v>2500.0</v>
      </c>
      <c r="F6" s="22">
        <v>2500.0</v>
      </c>
      <c r="G6" s="22"/>
      <c r="H6" s="22">
        <f>94.7+1.77</f>
        <v>96.47</v>
      </c>
      <c r="I6" s="22"/>
      <c r="J6" s="22"/>
      <c r="K6" s="25" t="s">
        <v>19</v>
      </c>
      <c r="L6" s="22"/>
      <c r="M6" s="22"/>
      <c r="N6" s="22"/>
      <c r="O6" s="15"/>
      <c r="P6" s="16"/>
      <c r="Q6" s="11"/>
    </row>
    <row r="7">
      <c r="A7" s="20">
        <v>4.0</v>
      </c>
      <c r="B7" s="20" t="s">
        <v>20</v>
      </c>
      <c r="C7" s="21">
        <v>449.0</v>
      </c>
      <c r="D7" s="21">
        <v>449.0</v>
      </c>
      <c r="E7" s="21">
        <v>449.0</v>
      </c>
      <c r="F7" s="21">
        <v>449.0</v>
      </c>
      <c r="G7" s="21">
        <v>449.0</v>
      </c>
      <c r="H7" s="20">
        <v>449.0</v>
      </c>
      <c r="I7" s="21">
        <v>449.0</v>
      </c>
      <c r="J7" s="21">
        <v>449.0</v>
      </c>
      <c r="K7" s="21">
        <v>449.0</v>
      </c>
      <c r="L7" s="21">
        <v>449.0</v>
      </c>
      <c r="M7" s="21">
        <v>449.0</v>
      </c>
      <c r="N7" s="21">
        <v>449.0</v>
      </c>
      <c r="O7" s="15"/>
      <c r="P7" s="16"/>
      <c r="Q7" s="11"/>
    </row>
    <row r="8">
      <c r="A8" s="20">
        <v>5.0</v>
      </c>
      <c r="B8" s="26" t="s">
        <v>21</v>
      </c>
      <c r="C8" s="27"/>
      <c r="D8" s="21"/>
      <c r="E8" s="28"/>
      <c r="F8" s="28"/>
      <c r="G8" s="21"/>
      <c r="H8" s="29">
        <f>2600+246+200</f>
        <v>3046</v>
      </c>
      <c r="I8" s="30"/>
      <c r="J8" s="28"/>
      <c r="K8" s="28"/>
      <c r="L8" s="21"/>
      <c r="M8" s="21">
        <v>2000.0</v>
      </c>
      <c r="N8" s="21">
        <v>1500.0</v>
      </c>
      <c r="O8" s="15"/>
      <c r="P8" s="16"/>
      <c r="Q8" s="11"/>
    </row>
    <row r="9">
      <c r="A9" s="31"/>
      <c r="B9" s="32" t="s">
        <v>22</v>
      </c>
      <c r="C9" s="33">
        <f t="shared" ref="C9:N9" si="4">SUM(C4:C8)</f>
        <v>6053.45</v>
      </c>
      <c r="D9" s="33">
        <f t="shared" si="4"/>
        <v>22565.38</v>
      </c>
      <c r="E9" s="33">
        <f t="shared" si="4"/>
        <v>29077.31</v>
      </c>
      <c r="F9" s="33">
        <f t="shared" si="4"/>
        <v>35589.24</v>
      </c>
      <c r="G9" s="33">
        <f t="shared" si="4"/>
        <v>39601.17</v>
      </c>
      <c r="H9" s="33">
        <f t="shared" si="4"/>
        <v>7161.33</v>
      </c>
      <c r="I9" s="33">
        <f t="shared" si="4"/>
        <v>3354.63</v>
      </c>
      <c r="J9" s="33">
        <f t="shared" si="4"/>
        <v>2810</v>
      </c>
      <c r="K9" s="33">
        <f t="shared" si="4"/>
        <v>2857.11</v>
      </c>
      <c r="L9" s="33">
        <f t="shared" si="4"/>
        <v>3528.77</v>
      </c>
      <c r="M9" s="33">
        <f t="shared" si="4"/>
        <v>6505.51</v>
      </c>
      <c r="N9" s="33">
        <f t="shared" si="4"/>
        <v>9162.16</v>
      </c>
      <c r="O9" s="34"/>
      <c r="P9" s="16"/>
      <c r="Q9" s="11"/>
    </row>
    <row r="10">
      <c r="A10" s="35"/>
      <c r="B10" s="36" t="s">
        <v>23</v>
      </c>
      <c r="C10" s="37">
        <f t="shared" ref="C10:N10" si="5">sum(C5:C8)</f>
        <v>6053.45</v>
      </c>
      <c r="D10" s="37">
        <f t="shared" si="5"/>
        <v>17053.45</v>
      </c>
      <c r="E10" s="37">
        <f t="shared" si="5"/>
        <v>7053.45</v>
      </c>
      <c r="F10" s="37">
        <f t="shared" si="5"/>
        <v>7053.45</v>
      </c>
      <c r="G10" s="37">
        <f t="shared" si="5"/>
        <v>4553.45</v>
      </c>
      <c r="H10" s="37">
        <f t="shared" si="5"/>
        <v>7916.84</v>
      </c>
      <c r="I10" s="37">
        <f t="shared" si="5"/>
        <v>4553.45</v>
      </c>
      <c r="J10" s="37">
        <f t="shared" si="5"/>
        <v>4553.45</v>
      </c>
      <c r="K10" s="37">
        <f t="shared" si="5"/>
        <v>4553.45</v>
      </c>
      <c r="L10" s="37">
        <f t="shared" si="5"/>
        <v>4553.45</v>
      </c>
      <c r="M10" s="37">
        <f t="shared" si="5"/>
        <v>6553.45</v>
      </c>
      <c r="N10" s="37">
        <f t="shared" si="5"/>
        <v>6053.45</v>
      </c>
      <c r="O10" s="24"/>
      <c r="P10" s="16"/>
      <c r="Q10" s="11"/>
    </row>
    <row r="11" ht="11.25" customHeight="1">
      <c r="A11" s="38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2"/>
      <c r="Q11" s="11"/>
    </row>
    <row r="12">
      <c r="A12" s="43"/>
      <c r="B12" s="2"/>
      <c r="C12" s="2"/>
      <c r="D12" s="2"/>
      <c r="E12" s="2"/>
      <c r="F12" s="2"/>
      <c r="G12" s="2"/>
      <c r="H12" s="3" t="s">
        <v>24</v>
      </c>
      <c r="I12" s="2"/>
      <c r="J12" s="2"/>
      <c r="K12" s="2"/>
      <c r="L12" s="2"/>
      <c r="M12" s="2"/>
      <c r="N12" s="2"/>
      <c r="O12" s="4"/>
      <c r="P12" s="4"/>
      <c r="Q12" s="5"/>
    </row>
    <row r="13">
      <c r="A13" s="44" t="s">
        <v>2</v>
      </c>
      <c r="B13" s="45" t="s">
        <v>3</v>
      </c>
      <c r="C13" s="46" t="s">
        <v>4</v>
      </c>
      <c r="D13" s="46" t="s">
        <v>5</v>
      </c>
      <c r="E13" s="46" t="s">
        <v>6</v>
      </c>
      <c r="F13" s="46" t="s">
        <v>7</v>
      </c>
      <c r="G13" s="46" t="s">
        <v>8</v>
      </c>
      <c r="H13" s="46" t="s">
        <v>9</v>
      </c>
      <c r="I13" s="46" t="s">
        <v>10</v>
      </c>
      <c r="J13" s="46" t="s">
        <v>11</v>
      </c>
      <c r="K13" s="46" t="s">
        <v>12</v>
      </c>
      <c r="L13" s="46" t="s">
        <v>13</v>
      </c>
      <c r="M13" s="46" t="s">
        <v>14</v>
      </c>
      <c r="N13" s="46" t="s">
        <v>15</v>
      </c>
      <c r="O13" s="47" t="s">
        <v>25</v>
      </c>
      <c r="P13" s="48"/>
      <c r="Q13" s="49"/>
    </row>
    <row r="14">
      <c r="A14" s="50">
        <v>1.0</v>
      </c>
      <c r="B14" s="51" t="s">
        <v>26</v>
      </c>
      <c r="C14" s="52"/>
      <c r="D14" s="53"/>
      <c r="E14" s="52"/>
      <c r="F14" s="52"/>
      <c r="G14" s="52"/>
      <c r="H14" s="51">
        <v>368.0</v>
      </c>
      <c r="I14" s="52">
        <v>368.0</v>
      </c>
      <c r="J14" s="52">
        <v>368.0</v>
      </c>
      <c r="K14" s="52">
        <v>368.0</v>
      </c>
      <c r="L14" s="52">
        <v>368.0</v>
      </c>
      <c r="M14" s="52">
        <v>368.0</v>
      </c>
      <c r="N14" s="52">
        <v>368.0</v>
      </c>
      <c r="O14" s="54">
        <f t="shared" ref="O14:O32" si="6">sum(C14:N14)</f>
        <v>2576</v>
      </c>
      <c r="P14" s="55"/>
      <c r="Q14" s="56"/>
    </row>
    <row r="15">
      <c r="A15" s="50">
        <v>2.0</v>
      </c>
      <c r="B15" s="51" t="s">
        <v>27</v>
      </c>
      <c r="C15" s="52"/>
      <c r="D15" s="57"/>
      <c r="E15" s="52"/>
      <c r="F15" s="52"/>
      <c r="G15" s="52"/>
      <c r="H15" s="58">
        <v>336.0</v>
      </c>
      <c r="I15" s="52">
        <v>336.0</v>
      </c>
      <c r="J15" s="52">
        <v>336.0</v>
      </c>
      <c r="K15" s="52">
        <v>336.0</v>
      </c>
      <c r="L15" s="52">
        <v>336.0</v>
      </c>
      <c r="M15" s="52">
        <v>336.0</v>
      </c>
      <c r="N15" s="52">
        <v>336.0</v>
      </c>
      <c r="O15" s="54">
        <f t="shared" si="6"/>
        <v>2352</v>
      </c>
      <c r="P15" s="55"/>
      <c r="Q15" s="56"/>
    </row>
    <row r="16">
      <c r="A16" s="50">
        <v>3.0</v>
      </c>
      <c r="B16" s="51" t="s">
        <v>28</v>
      </c>
      <c r="C16" s="52"/>
      <c r="D16" s="53"/>
      <c r="E16" s="52"/>
      <c r="F16" s="52"/>
      <c r="G16" s="52"/>
      <c r="H16" s="59">
        <v>270.0</v>
      </c>
      <c r="I16" s="52">
        <v>270.0</v>
      </c>
      <c r="J16" s="52">
        <v>270.0</v>
      </c>
      <c r="K16" s="52">
        <v>270.0</v>
      </c>
      <c r="L16" s="52">
        <v>270.0</v>
      </c>
      <c r="M16" s="52">
        <v>270.0</v>
      </c>
      <c r="N16" s="52">
        <v>270.0</v>
      </c>
      <c r="O16" s="54">
        <f t="shared" si="6"/>
        <v>1890</v>
      </c>
      <c r="P16" s="55"/>
      <c r="Q16" s="56"/>
    </row>
    <row r="17">
      <c r="A17" s="50">
        <v>4.0</v>
      </c>
      <c r="B17" s="60" t="s">
        <v>29</v>
      </c>
      <c r="C17" s="61"/>
      <c r="D17" s="62"/>
      <c r="E17" s="61"/>
      <c r="F17" s="61"/>
      <c r="G17" s="61"/>
      <c r="H17" s="60">
        <v>140.0</v>
      </c>
      <c r="I17" s="61">
        <v>140.0</v>
      </c>
      <c r="J17" s="61">
        <v>140.0</v>
      </c>
      <c r="K17" s="61">
        <v>140.0</v>
      </c>
      <c r="L17" s="61">
        <v>140.0</v>
      </c>
      <c r="M17" s="61">
        <v>140.0</v>
      </c>
      <c r="N17" s="61">
        <v>140.0</v>
      </c>
      <c r="O17" s="54">
        <f t="shared" si="6"/>
        <v>980</v>
      </c>
      <c r="P17" s="55"/>
      <c r="Q17" s="56"/>
    </row>
    <row r="18">
      <c r="A18" s="63">
        <v>5.0</v>
      </c>
      <c r="B18" s="64" t="s">
        <v>30</v>
      </c>
      <c r="C18" s="65"/>
      <c r="D18" s="66"/>
      <c r="E18" s="65"/>
      <c r="F18" s="65"/>
      <c r="G18" s="65"/>
      <c r="H18" s="67">
        <v>531.41</v>
      </c>
      <c r="I18" s="65">
        <f>14.99+14.9+6.9+105+150</f>
        <v>291.79</v>
      </c>
      <c r="J18" s="65">
        <f t="shared" ref="J18:N18" si="7">14.99+14.9</f>
        <v>29.89</v>
      </c>
      <c r="K18" s="65">
        <f t="shared" si="7"/>
        <v>29.89</v>
      </c>
      <c r="L18" s="65">
        <f t="shared" si="7"/>
        <v>29.89</v>
      </c>
      <c r="M18" s="65">
        <f t="shared" si="7"/>
        <v>29.89</v>
      </c>
      <c r="N18" s="68">
        <f t="shared" si="7"/>
        <v>29.89</v>
      </c>
      <c r="O18" s="69">
        <f t="shared" si="6"/>
        <v>972.65</v>
      </c>
      <c r="P18" s="55"/>
      <c r="Q18" s="56"/>
    </row>
    <row r="19">
      <c r="A19" s="63">
        <v>6.0</v>
      </c>
      <c r="B19" s="64" t="s">
        <v>31</v>
      </c>
      <c r="C19" s="65"/>
      <c r="D19" s="66"/>
      <c r="E19" s="65"/>
      <c r="F19" s="65"/>
      <c r="G19" s="70"/>
      <c r="H19" s="67">
        <v>1506.88</v>
      </c>
      <c r="I19" s="65">
        <f>411.56+325.85+(20*5.7)+14.99</f>
        <v>866.4</v>
      </c>
      <c r="J19" s="65">
        <f>342.09+325.85+(20*5.7)+14.99</f>
        <v>796.93</v>
      </c>
      <c r="K19" s="65">
        <f>224.29+325.85+(20*5.7)+14.99</f>
        <v>679.13</v>
      </c>
      <c r="L19" s="65">
        <f t="shared" ref="L19:M19" si="8">224.29+(20*5.7)+14.99</f>
        <v>353.28</v>
      </c>
      <c r="M19" s="65">
        <f t="shared" si="8"/>
        <v>353.28</v>
      </c>
      <c r="N19" s="68">
        <f>201.39+(20*5.7)+14.99</f>
        <v>330.38</v>
      </c>
      <c r="O19" s="69">
        <f t="shared" si="6"/>
        <v>4886.28</v>
      </c>
      <c r="P19" s="55"/>
      <c r="Q19" s="56"/>
    </row>
    <row r="20">
      <c r="A20" s="63">
        <v>7.0</v>
      </c>
      <c r="B20" s="64" t="s">
        <v>32</v>
      </c>
      <c r="C20" s="65"/>
      <c r="D20" s="66"/>
      <c r="E20" s="65"/>
      <c r="F20" s="65"/>
      <c r="G20" s="70"/>
      <c r="H20" s="67">
        <f>337.23</f>
        <v>337.23</v>
      </c>
      <c r="I20" s="71">
        <f>57.25+39.9+20</f>
        <v>117.15</v>
      </c>
      <c r="J20" s="65">
        <f t="shared" ref="J20:N20" si="9">39.9+20</f>
        <v>59.9</v>
      </c>
      <c r="K20" s="65">
        <f t="shared" si="9"/>
        <v>59.9</v>
      </c>
      <c r="L20" s="65">
        <f t="shared" si="9"/>
        <v>59.9</v>
      </c>
      <c r="M20" s="65">
        <f t="shared" si="9"/>
        <v>59.9</v>
      </c>
      <c r="N20" s="68">
        <f t="shared" si="9"/>
        <v>59.9</v>
      </c>
      <c r="O20" s="69">
        <f t="shared" si="6"/>
        <v>753.88</v>
      </c>
      <c r="P20" s="55"/>
      <c r="Q20" s="56"/>
    </row>
    <row r="21">
      <c r="A21" s="63">
        <v>8.0</v>
      </c>
      <c r="B21" s="64" t="s">
        <v>33</v>
      </c>
      <c r="C21" s="65"/>
      <c r="D21" s="72"/>
      <c r="E21" s="65"/>
      <c r="F21" s="65"/>
      <c r="G21" s="65"/>
      <c r="H21" s="67">
        <v>897.44</v>
      </c>
      <c r="I21" s="73">
        <f>159.14+((15+7.4+6.9+8+40)*8)</f>
        <v>777.54</v>
      </c>
      <c r="J21" s="73">
        <f>159.14+230</f>
        <v>389.14</v>
      </c>
      <c r="K21" s="65">
        <v>159.14</v>
      </c>
      <c r="L21" s="65">
        <v>111.16</v>
      </c>
      <c r="M21" s="65"/>
      <c r="N21" s="68"/>
      <c r="O21" s="69">
        <f t="shared" si="6"/>
        <v>2334.42</v>
      </c>
      <c r="P21" s="55"/>
      <c r="Q21" s="56"/>
    </row>
    <row r="22">
      <c r="A22" s="63">
        <v>9.0</v>
      </c>
      <c r="B22" s="64" t="s">
        <v>34</v>
      </c>
      <c r="C22" s="70"/>
      <c r="D22" s="74"/>
      <c r="E22" s="70"/>
      <c r="F22" s="70"/>
      <c r="G22" s="70"/>
      <c r="H22" s="66">
        <f>2462.62+48.89+83.35+7.4+6.9</f>
        <v>2609.16</v>
      </c>
      <c r="I22" s="65">
        <v>618.86</v>
      </c>
      <c r="J22" s="65">
        <v>505.39</v>
      </c>
      <c r="K22" s="65">
        <v>505.39</v>
      </c>
      <c r="L22" s="65">
        <v>505.39</v>
      </c>
      <c r="M22" s="65">
        <v>505.39</v>
      </c>
      <c r="N22" s="68">
        <v>505.39</v>
      </c>
      <c r="O22" s="69">
        <f t="shared" si="6"/>
        <v>5754.97</v>
      </c>
      <c r="P22" s="55"/>
      <c r="Q22" s="56"/>
    </row>
    <row r="23">
      <c r="A23" s="63">
        <v>10.0</v>
      </c>
      <c r="B23" s="64" t="s">
        <v>35</v>
      </c>
      <c r="C23" s="75"/>
      <c r="D23" s="75"/>
      <c r="E23" s="75"/>
      <c r="F23" s="75"/>
      <c r="G23" s="75"/>
      <c r="H23" s="76">
        <v>89.18</v>
      </c>
      <c r="I23" s="77"/>
      <c r="J23" s="65"/>
      <c r="K23" s="65"/>
      <c r="L23" s="65"/>
      <c r="M23" s="70"/>
      <c r="N23" s="78"/>
      <c r="O23" s="69">
        <f t="shared" si="6"/>
        <v>89.18</v>
      </c>
      <c r="P23" s="55"/>
      <c r="Q23" s="56"/>
    </row>
    <row r="24">
      <c r="A24" s="50">
        <v>11.0</v>
      </c>
      <c r="B24" s="79" t="s">
        <v>36</v>
      </c>
      <c r="C24" s="80">
        <f t="shared" ref="C24:H24" si="10">541.52</f>
        <v>541.52</v>
      </c>
      <c r="D24" s="80">
        <f t="shared" si="10"/>
        <v>541.52</v>
      </c>
      <c r="E24" s="80">
        <f t="shared" si="10"/>
        <v>541.52</v>
      </c>
      <c r="F24" s="80">
        <f t="shared" si="10"/>
        <v>541.52</v>
      </c>
      <c r="G24" s="80">
        <f t="shared" si="10"/>
        <v>541.52</v>
      </c>
      <c r="H24" s="80">
        <f t="shared" si="10"/>
        <v>541.52</v>
      </c>
      <c r="I24" s="81">
        <v>104.0</v>
      </c>
      <c r="J24" s="81">
        <v>104.0</v>
      </c>
      <c r="K24" s="82"/>
      <c r="L24" s="82"/>
      <c r="M24" s="82"/>
      <c r="N24" s="82"/>
      <c r="O24" s="54">
        <f t="shared" si="6"/>
        <v>3457.12</v>
      </c>
      <c r="P24" s="55"/>
      <c r="Q24" s="56"/>
    </row>
    <row r="25">
      <c r="A25" s="50">
        <v>12.0</v>
      </c>
      <c r="B25" s="51" t="s">
        <v>37</v>
      </c>
      <c r="C25" s="83"/>
      <c r="D25" s="83"/>
      <c r="E25" s="83"/>
      <c r="F25" s="83"/>
      <c r="G25" s="52">
        <f>30+16+37.47+43.99+25.35+37.47+32.9</f>
        <v>223.18</v>
      </c>
      <c r="H25" s="53">
        <v>68.75</v>
      </c>
      <c r="I25" s="83">
        <f>(15+7.4+6.9+8+40)*8</f>
        <v>618.4</v>
      </c>
      <c r="J25" s="83">
        <f>68.75+(15+7.4+6.9+8+40)*8</f>
        <v>687.15</v>
      </c>
      <c r="K25" s="83">
        <f>(15+7.4+6.9+8+40)*8</f>
        <v>618.4</v>
      </c>
      <c r="L25" s="83">
        <f>68.75+(15+7.4+6.9+8+40)*8</f>
        <v>687.15</v>
      </c>
      <c r="M25" s="83">
        <f>(15+7.4+6.9+8+40)*8</f>
        <v>618.4</v>
      </c>
      <c r="N25" s="83">
        <f>68.75+(15+7.4+6.9+8+40)*8</f>
        <v>687.15</v>
      </c>
      <c r="O25" s="54">
        <f t="shared" si="6"/>
        <v>4208.58</v>
      </c>
      <c r="P25" s="55"/>
      <c r="Q25" s="56"/>
    </row>
    <row r="26">
      <c r="A26" s="50">
        <v>13.0</v>
      </c>
      <c r="B26" s="51" t="s">
        <v>38</v>
      </c>
      <c r="C26" s="52"/>
      <c r="D26" s="52"/>
      <c r="E26" s="52"/>
      <c r="F26" s="52"/>
      <c r="G26" s="52">
        <f>20.01</f>
        <v>20.01</v>
      </c>
      <c r="H26" s="52"/>
      <c r="I26" s="52"/>
      <c r="J26" s="52">
        <f t="shared" ref="J26:N26" si="11">150+80</f>
        <v>230</v>
      </c>
      <c r="K26" s="52">
        <f t="shared" si="11"/>
        <v>230</v>
      </c>
      <c r="L26" s="52">
        <f t="shared" si="11"/>
        <v>230</v>
      </c>
      <c r="M26" s="52">
        <f t="shared" si="11"/>
        <v>230</v>
      </c>
      <c r="N26" s="52">
        <f t="shared" si="11"/>
        <v>230</v>
      </c>
      <c r="O26" s="54">
        <f t="shared" si="6"/>
        <v>1170.01</v>
      </c>
      <c r="P26" s="55"/>
      <c r="Q26" s="56"/>
    </row>
    <row r="27">
      <c r="A27" s="50">
        <v>14.0</v>
      </c>
      <c r="B27" s="51" t="s">
        <v>21</v>
      </c>
      <c r="C27" s="52"/>
      <c r="D27" s="52"/>
      <c r="E27" s="83"/>
      <c r="F27" s="83"/>
      <c r="G27" s="52">
        <f>30+24.99+100+23.48+8.22</f>
        <v>186.69</v>
      </c>
      <c r="H27" s="84">
        <f>30+30</f>
        <v>60</v>
      </c>
      <c r="I27" s="52">
        <v>60.0</v>
      </c>
      <c r="J27" s="52">
        <f t="shared" ref="J27:N27" si="12">60</f>
        <v>60</v>
      </c>
      <c r="K27" s="52">
        <f t="shared" si="12"/>
        <v>60</v>
      </c>
      <c r="L27" s="52">
        <f t="shared" si="12"/>
        <v>60</v>
      </c>
      <c r="M27" s="52">
        <f t="shared" si="12"/>
        <v>60</v>
      </c>
      <c r="N27" s="52">
        <f t="shared" si="12"/>
        <v>60</v>
      </c>
      <c r="O27" s="54">
        <f t="shared" si="6"/>
        <v>606.69</v>
      </c>
      <c r="P27" s="55"/>
      <c r="Q27" s="56"/>
    </row>
    <row r="28">
      <c r="A28" s="50">
        <v>15.0</v>
      </c>
      <c r="B28" s="51" t="s">
        <v>39</v>
      </c>
      <c r="C28" s="85"/>
      <c r="D28" s="85"/>
      <c r="E28" s="85"/>
      <c r="F28" s="85"/>
      <c r="G28" s="85"/>
      <c r="H28" s="85"/>
      <c r="I28" s="85">
        <v>104.0</v>
      </c>
      <c r="J28" s="85">
        <v>104.0</v>
      </c>
      <c r="K28" s="85"/>
      <c r="L28" s="85"/>
      <c r="M28" s="85"/>
      <c r="N28" s="85"/>
      <c r="O28" s="54">
        <f t="shared" si="6"/>
        <v>208</v>
      </c>
      <c r="P28" s="55"/>
      <c r="Q28" s="56"/>
    </row>
    <row r="29">
      <c r="A29" s="50">
        <v>16.0</v>
      </c>
      <c r="B29" s="51" t="s">
        <v>40</v>
      </c>
      <c r="C29" s="52"/>
      <c r="D29" s="53"/>
      <c r="E29" s="52"/>
      <c r="F29" s="52"/>
      <c r="G29" s="51">
        <f>328.71</f>
        <v>328.71</v>
      </c>
      <c r="H29" s="59">
        <f>325.94+198.84</f>
        <v>524.78</v>
      </c>
      <c r="I29" s="86">
        <v>325.94</v>
      </c>
      <c r="J29" s="86">
        <v>325.94</v>
      </c>
      <c r="K29" s="86">
        <v>325.94</v>
      </c>
      <c r="L29" s="86">
        <v>325.94</v>
      </c>
      <c r="M29" s="86">
        <v>325.94</v>
      </c>
      <c r="N29" s="86">
        <v>325.94</v>
      </c>
      <c r="O29" s="54">
        <f t="shared" si="6"/>
        <v>2809.13</v>
      </c>
      <c r="P29" s="55"/>
      <c r="Q29" s="56"/>
    </row>
    <row r="30">
      <c r="A30" s="50">
        <v>17.0</v>
      </c>
      <c r="B30" s="51" t="s">
        <v>41</v>
      </c>
      <c r="C30" s="52"/>
      <c r="D30" s="52"/>
      <c r="E30" s="83"/>
      <c r="F30" s="83"/>
      <c r="G30" s="83"/>
      <c r="H30" s="52"/>
      <c r="I30" s="52">
        <v>100.0</v>
      </c>
      <c r="J30" s="52">
        <v>100.0</v>
      </c>
      <c r="K30" s="52">
        <v>100.0</v>
      </c>
      <c r="L30" s="52">
        <v>100.0</v>
      </c>
      <c r="M30" s="52">
        <v>100.0</v>
      </c>
      <c r="N30" s="52">
        <v>100.0</v>
      </c>
      <c r="O30" s="54">
        <f t="shared" si="6"/>
        <v>600</v>
      </c>
      <c r="P30" s="55"/>
      <c r="Q30" s="56"/>
    </row>
    <row r="31">
      <c r="A31" s="50">
        <v>18.0</v>
      </c>
      <c r="B31" s="51" t="s">
        <v>42</v>
      </c>
      <c r="C31" s="52"/>
      <c r="D31" s="52"/>
      <c r="E31" s="83"/>
      <c r="F31" s="83"/>
      <c r="G31" s="87">
        <f>39056.57+((20.3+2.8)*0)</f>
        <v>39056.57</v>
      </c>
      <c r="H31" s="53">
        <v>79.8</v>
      </c>
      <c r="I31" s="52"/>
      <c r="J31" s="52"/>
      <c r="K31" s="52"/>
      <c r="L31" s="52"/>
      <c r="M31" s="52"/>
      <c r="N31" s="52"/>
      <c r="O31" s="54">
        <f t="shared" si="6"/>
        <v>39136.37</v>
      </c>
      <c r="P31" s="55"/>
      <c r="Q31" s="56"/>
    </row>
    <row r="32">
      <c r="A32" s="31"/>
      <c r="B32" s="88" t="s">
        <v>43</v>
      </c>
      <c r="C32" s="89">
        <f t="shared" ref="C32:N32" si="13">SUM(C14:C31)</f>
        <v>541.52</v>
      </c>
      <c r="D32" s="89">
        <f t="shared" si="13"/>
        <v>541.52</v>
      </c>
      <c r="E32" s="89">
        <f t="shared" si="13"/>
        <v>541.52</v>
      </c>
      <c r="F32" s="89">
        <f t="shared" si="13"/>
        <v>541.52</v>
      </c>
      <c r="G32" s="89">
        <f t="shared" si="13"/>
        <v>40356.68</v>
      </c>
      <c r="H32" s="89">
        <f t="shared" si="13"/>
        <v>8360.15</v>
      </c>
      <c r="I32" s="89">
        <f t="shared" si="13"/>
        <v>5098.08</v>
      </c>
      <c r="J32" s="89">
        <f t="shared" si="13"/>
        <v>4506.34</v>
      </c>
      <c r="K32" s="89">
        <f t="shared" si="13"/>
        <v>3881.79</v>
      </c>
      <c r="L32" s="89">
        <f t="shared" si="13"/>
        <v>3576.71</v>
      </c>
      <c r="M32" s="89">
        <f t="shared" si="13"/>
        <v>3396.8</v>
      </c>
      <c r="N32" s="89">
        <f t="shared" si="13"/>
        <v>3442.65</v>
      </c>
      <c r="O32" s="54">
        <f t="shared" si="6"/>
        <v>74785.28</v>
      </c>
      <c r="P32" s="55"/>
      <c r="Q32" s="56"/>
    </row>
    <row r="33">
      <c r="A33" s="90"/>
      <c r="B33" s="91" t="s">
        <v>44</v>
      </c>
      <c r="C33" s="92">
        <f t="shared" ref="C33:N33" si="14">C9-C32</f>
        <v>5511.93</v>
      </c>
      <c r="D33" s="92">
        <f t="shared" si="14"/>
        <v>22023.86</v>
      </c>
      <c r="E33" s="92">
        <f t="shared" si="14"/>
        <v>28535.79</v>
      </c>
      <c r="F33" s="92">
        <f t="shared" si="14"/>
        <v>35047.72</v>
      </c>
      <c r="G33" s="92">
        <f t="shared" si="14"/>
        <v>-755.51</v>
      </c>
      <c r="H33" s="92">
        <f t="shared" si="14"/>
        <v>-1198.82</v>
      </c>
      <c r="I33" s="92">
        <f t="shared" si="14"/>
        <v>-1743.45</v>
      </c>
      <c r="J33" s="92">
        <f t="shared" si="14"/>
        <v>-1696.34</v>
      </c>
      <c r="K33" s="92">
        <f t="shared" si="14"/>
        <v>-1024.68</v>
      </c>
      <c r="L33" s="92">
        <f t="shared" si="14"/>
        <v>-47.94</v>
      </c>
      <c r="M33" s="92">
        <f t="shared" si="14"/>
        <v>3108.71</v>
      </c>
      <c r="N33" s="92">
        <f t="shared" si="14"/>
        <v>5719.51</v>
      </c>
      <c r="O33" s="93"/>
      <c r="P33" s="93"/>
      <c r="Q33" s="94"/>
    </row>
    <row r="34" ht="1.5" customHeight="1">
      <c r="A34" s="95"/>
      <c r="B34" s="96"/>
      <c r="C34" s="97"/>
      <c r="D34" s="97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3"/>
      <c r="P34" s="93"/>
      <c r="Q34" s="94"/>
    </row>
    <row r="35">
      <c r="A35" s="12"/>
      <c r="B35" s="13" t="s">
        <v>45</v>
      </c>
      <c r="C35" s="99">
        <f t="shared" ref="C35:N35" si="15">sum(C5:C8)-sum(C14:C31)</f>
        <v>5511.93</v>
      </c>
      <c r="D35" s="99">
        <f t="shared" si="15"/>
        <v>16511.93</v>
      </c>
      <c r="E35" s="99">
        <f t="shared" si="15"/>
        <v>6511.93</v>
      </c>
      <c r="F35" s="99">
        <f t="shared" si="15"/>
        <v>6511.93</v>
      </c>
      <c r="G35" s="99">
        <f t="shared" si="15"/>
        <v>-35803.23</v>
      </c>
      <c r="H35" s="99">
        <f t="shared" si="15"/>
        <v>-443.31</v>
      </c>
      <c r="I35" s="99">
        <f t="shared" si="15"/>
        <v>-544.63</v>
      </c>
      <c r="J35" s="99">
        <f t="shared" si="15"/>
        <v>47.11</v>
      </c>
      <c r="K35" s="99">
        <f t="shared" si="15"/>
        <v>671.66</v>
      </c>
      <c r="L35" s="99">
        <f t="shared" si="15"/>
        <v>976.74</v>
      </c>
      <c r="M35" s="99">
        <f t="shared" si="15"/>
        <v>3156.65</v>
      </c>
      <c r="N35" s="99">
        <f t="shared" si="15"/>
        <v>2610.8</v>
      </c>
      <c r="O35" s="54">
        <f>sum(C35:N35)</f>
        <v>5719.51</v>
      </c>
      <c r="P35" s="55"/>
      <c r="Q35" s="56"/>
    </row>
    <row r="36">
      <c r="A36" s="12"/>
      <c r="B36" s="12" t="s">
        <v>46</v>
      </c>
      <c r="C36" s="100">
        <f t="shared" ref="C36:N36" si="16">if(and(C33&gt;$O$2,C33&gt;0),$O$2*(-1),C33-$O$2)</f>
        <v>840</v>
      </c>
      <c r="D36" s="100">
        <f t="shared" si="16"/>
        <v>840</v>
      </c>
      <c r="E36" s="100">
        <f t="shared" si="16"/>
        <v>840</v>
      </c>
      <c r="F36" s="100">
        <f t="shared" si="16"/>
        <v>840</v>
      </c>
      <c r="G36" s="100">
        <f t="shared" si="16"/>
        <v>84.49</v>
      </c>
      <c r="H36" s="100">
        <f t="shared" si="16"/>
        <v>-358.82</v>
      </c>
      <c r="I36" s="100">
        <f t="shared" si="16"/>
        <v>-903.45</v>
      </c>
      <c r="J36" s="100">
        <f t="shared" si="16"/>
        <v>-856.34</v>
      </c>
      <c r="K36" s="100">
        <f t="shared" si="16"/>
        <v>-184.68</v>
      </c>
      <c r="L36" s="100">
        <f t="shared" si="16"/>
        <v>792.06</v>
      </c>
      <c r="M36" s="100">
        <f t="shared" si="16"/>
        <v>840</v>
      </c>
      <c r="N36" s="100">
        <f t="shared" si="16"/>
        <v>840</v>
      </c>
      <c r="O36" s="101"/>
      <c r="P36" s="101"/>
      <c r="Q36" s="101"/>
    </row>
    <row r="37">
      <c r="A37" s="102"/>
      <c r="B37" s="103"/>
      <c r="C37" s="104"/>
      <c r="D37" s="104"/>
      <c r="E37" s="104"/>
      <c r="F37" s="104"/>
      <c r="G37" s="104"/>
      <c r="H37" s="104"/>
      <c r="I37" s="104"/>
      <c r="J37" s="104"/>
      <c r="K37" s="105"/>
      <c r="L37" s="106"/>
      <c r="M37" s="107"/>
      <c r="N37" s="108"/>
      <c r="O37" s="16"/>
      <c r="P37" s="16"/>
      <c r="Q37" s="11"/>
    </row>
    <row r="38">
      <c r="A38" s="102"/>
      <c r="B38" s="109"/>
      <c r="C38" s="110" t="s">
        <v>47</v>
      </c>
      <c r="D38" s="111"/>
      <c r="E38" s="112"/>
      <c r="F38" s="113" t="s">
        <v>48</v>
      </c>
      <c r="G38" s="111"/>
      <c r="H38" s="112"/>
      <c r="I38" s="110" t="s">
        <v>49</v>
      </c>
      <c r="J38" s="112"/>
      <c r="K38" s="114"/>
      <c r="L38" s="115"/>
      <c r="M38" s="116"/>
      <c r="N38" s="117"/>
      <c r="O38" s="16"/>
      <c r="P38" s="16"/>
      <c r="Q38" s="11"/>
    </row>
    <row r="39">
      <c r="A39" s="102"/>
      <c r="B39" s="109"/>
      <c r="C39" s="118">
        <f>SUM(C10:N10)+sum(C7:N7)</f>
        <v>85892.79</v>
      </c>
      <c r="D39" s="119"/>
      <c r="E39" s="120"/>
      <c r="F39" s="118">
        <f>SUM(C32:N32)-sum(C25:N25)</f>
        <v>70576.7</v>
      </c>
      <c r="G39" s="119"/>
      <c r="H39" s="120"/>
      <c r="I39" s="121">
        <f>C39-F39</f>
        <v>15316.09</v>
      </c>
      <c r="J39" s="120"/>
      <c r="K39" s="109"/>
      <c r="L39" s="122"/>
      <c r="M39" s="122"/>
      <c r="N39" s="122"/>
      <c r="O39" s="16"/>
      <c r="P39" s="16"/>
      <c r="Q39" s="11"/>
    </row>
    <row r="40">
      <c r="A40" s="123"/>
      <c r="B40" s="122"/>
      <c r="C40" s="109"/>
      <c r="D40" s="109"/>
      <c r="E40" s="109"/>
      <c r="F40" s="109"/>
      <c r="G40" s="109"/>
      <c r="H40" s="109"/>
      <c r="I40" s="122"/>
      <c r="J40" s="109"/>
      <c r="K40" s="109"/>
      <c r="L40" s="109"/>
      <c r="M40" s="122"/>
      <c r="N40" s="122"/>
      <c r="O40" s="124"/>
      <c r="P40" s="124"/>
      <c r="Q40" s="124"/>
    </row>
    <row r="41">
      <c r="A41" s="123"/>
      <c r="B41" s="122"/>
      <c r="C41" s="109"/>
      <c r="D41" s="109"/>
      <c r="E41" s="109"/>
      <c r="F41" s="109"/>
      <c r="G41" s="125">
        <f>G31+1.77</f>
        <v>39058.34</v>
      </c>
      <c r="H41" s="125">
        <f>H33-L38</f>
        <v>-1198.82</v>
      </c>
      <c r="I41" s="122"/>
      <c r="J41" s="109"/>
      <c r="K41" s="109"/>
      <c r="L41" s="109"/>
      <c r="M41" s="126"/>
      <c r="N41" s="126"/>
      <c r="O41" s="124"/>
      <c r="P41" s="124"/>
      <c r="Q41" s="124"/>
    </row>
    <row r="42">
      <c r="A42" s="123"/>
      <c r="B42" s="122"/>
      <c r="C42" s="109"/>
      <c r="D42" s="109"/>
      <c r="E42" s="109"/>
      <c r="F42" s="109"/>
      <c r="G42" s="109"/>
      <c r="H42" s="109"/>
      <c r="I42" s="122"/>
      <c r="J42" s="109"/>
      <c r="K42" s="109"/>
      <c r="L42" s="109"/>
      <c r="M42" s="126"/>
      <c r="N42" s="126"/>
      <c r="O42" s="124"/>
      <c r="P42" s="124"/>
      <c r="Q42" s="124"/>
    </row>
    <row r="43" ht="8.25" customHeight="1">
      <c r="A43" s="127"/>
      <c r="B43" s="128"/>
      <c r="C43" s="128"/>
      <c r="D43" s="128"/>
      <c r="E43" s="128"/>
      <c r="F43" s="128"/>
      <c r="G43" s="128"/>
      <c r="H43" s="128"/>
      <c r="I43" s="129"/>
      <c r="J43" s="128"/>
      <c r="K43" s="128"/>
      <c r="L43" s="128"/>
      <c r="M43" s="129"/>
      <c r="N43" s="129"/>
      <c r="O43" s="130"/>
      <c r="P43" s="130"/>
      <c r="Q43" s="130"/>
    </row>
    <row r="44">
      <c r="A44" s="124"/>
      <c r="B44" s="124"/>
      <c r="C44" s="124"/>
      <c r="D44" s="124"/>
      <c r="E44" s="124"/>
      <c r="F44" s="124"/>
      <c r="G44" s="124"/>
      <c r="H44" s="124"/>
      <c r="I44" s="131"/>
      <c r="K44" s="124"/>
      <c r="L44" s="131"/>
      <c r="M44" s="132"/>
      <c r="N44" s="133"/>
      <c r="O44" s="124"/>
      <c r="P44" s="124"/>
      <c r="Q44" s="124"/>
    </row>
    <row r="4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</row>
    <row r="46">
      <c r="A46" s="124"/>
      <c r="B46" s="124"/>
      <c r="C46" s="124"/>
      <c r="D46" s="124"/>
      <c r="E46" s="124"/>
      <c r="F46" s="124"/>
      <c r="G46" s="131"/>
      <c r="H46" s="124"/>
      <c r="I46" s="124"/>
      <c r="J46" s="124"/>
      <c r="K46" s="124"/>
      <c r="L46" s="124"/>
      <c r="M46" s="124"/>
      <c r="N46" s="124"/>
      <c r="O46" s="124"/>
      <c r="P46" s="124"/>
      <c r="Q46" s="124"/>
    </row>
    <row r="47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</row>
    <row r="48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</row>
    <row r="49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</row>
    <row r="50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</row>
    <row r="5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</row>
    <row r="52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</row>
    <row r="5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</row>
    <row r="54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</row>
    <row r="5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</row>
    <row r="56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</row>
    <row r="57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</row>
    <row r="58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</row>
    <row r="59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</row>
    <row r="60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</row>
    <row r="6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</row>
    <row r="62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</row>
    <row r="6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</row>
    <row r="6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</row>
    <row r="66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</row>
    <row r="67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</row>
    <row r="69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</row>
    <row r="70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</row>
    <row r="72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</row>
    <row r="7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</row>
    <row r="7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</row>
    <row r="76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</row>
    <row r="77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</row>
    <row r="78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</row>
    <row r="79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</row>
    <row r="80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</row>
    <row r="84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</row>
    <row r="8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</row>
    <row r="86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</row>
    <row r="87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</row>
    <row r="88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</row>
    <row r="89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</row>
    <row r="90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</row>
    <row r="9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</row>
    <row r="92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</row>
    <row r="94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</row>
    <row r="9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</row>
    <row r="97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</row>
    <row r="98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</row>
    <row r="10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</row>
    <row r="102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</row>
    <row r="104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</row>
    <row r="10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</row>
    <row r="106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</row>
    <row r="107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</row>
    <row r="108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</row>
    <row r="109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</row>
    <row r="110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</row>
    <row r="11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</row>
    <row r="112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</row>
    <row r="11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</row>
    <row r="114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</row>
    <row r="11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</row>
    <row r="116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</row>
    <row r="117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</row>
    <row r="118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</row>
    <row r="119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</row>
    <row r="120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</row>
    <row r="12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</row>
    <row r="122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</row>
    <row r="12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</row>
    <row r="124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</row>
    <row r="1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</row>
    <row r="126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</row>
    <row r="127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</row>
    <row r="129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</row>
    <row r="13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</row>
    <row r="132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</row>
    <row r="13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</row>
    <row r="289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</row>
    <row r="290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</row>
    <row r="29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</row>
    <row r="292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</row>
    <row r="29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</row>
    <row r="294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</row>
    <row r="295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</row>
    <row r="296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</row>
    <row r="297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</row>
    <row r="298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</row>
    <row r="299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</row>
    <row r="300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</row>
    <row r="30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</row>
    <row r="302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</row>
    <row r="30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</row>
    <row r="304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</row>
    <row r="305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</row>
    <row r="306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</row>
    <row r="307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</row>
    <row r="308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</row>
    <row r="309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</row>
    <row r="310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</row>
    <row r="31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</row>
    <row r="312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</row>
    <row r="31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</row>
    <row r="314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</row>
    <row r="315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</row>
    <row r="316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</row>
    <row r="317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</row>
    <row r="318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</row>
    <row r="319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</row>
    <row r="320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</row>
    <row r="32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</row>
    <row r="322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</row>
    <row r="32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</row>
    <row r="324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</row>
    <row r="325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</row>
    <row r="326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</row>
    <row r="327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</row>
    <row r="328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</row>
    <row r="329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</row>
    <row r="330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</row>
    <row r="33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</row>
    <row r="332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</row>
    <row r="33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</row>
    <row r="334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</row>
    <row r="335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</row>
    <row r="336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</row>
    <row r="337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</row>
    <row r="338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</row>
    <row r="339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</row>
    <row r="340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</row>
    <row r="34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</row>
    <row r="342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</row>
    <row r="34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</row>
    <row r="344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</row>
    <row r="345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</row>
    <row r="346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</row>
    <row r="347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</row>
    <row r="348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</row>
    <row r="349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</row>
    <row r="350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</row>
    <row r="35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</row>
    <row r="352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</row>
    <row r="35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</row>
    <row r="354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</row>
    <row r="355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</row>
    <row r="356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</row>
    <row r="357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</row>
    <row r="358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</row>
    <row r="359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</row>
    <row r="360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</row>
    <row r="36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</row>
    <row r="362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</row>
    <row r="36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</row>
    <row r="364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</row>
    <row r="365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</row>
    <row r="366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</row>
    <row r="367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</row>
    <row r="368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</row>
    <row r="369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</row>
    <row r="370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</row>
    <row r="37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</row>
    <row r="372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</row>
    <row r="37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</row>
    <row r="374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</row>
    <row r="375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</row>
    <row r="376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</row>
    <row r="377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</row>
    <row r="378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</row>
    <row r="379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</row>
    <row r="380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</row>
    <row r="38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</row>
    <row r="382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</row>
    <row r="38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</row>
    <row r="384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</row>
    <row r="385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</row>
    <row r="386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</row>
    <row r="387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</row>
    <row r="388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</row>
    <row r="389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</row>
    <row r="390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</row>
    <row r="39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</row>
    <row r="392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</row>
    <row r="39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</row>
    <row r="394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</row>
    <row r="395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</row>
    <row r="396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</row>
    <row r="397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</row>
    <row r="398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</row>
    <row r="399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</row>
    <row r="400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</row>
    <row r="40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</row>
    <row r="402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</row>
    <row r="40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</row>
    <row r="404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</row>
    <row r="405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</row>
    <row r="406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</row>
    <row r="407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</row>
    <row r="408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</row>
    <row r="409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</row>
    <row r="410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</row>
    <row r="41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</row>
    <row r="412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</row>
    <row r="41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</row>
    <row r="414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</row>
    <row r="415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</row>
    <row r="416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</row>
    <row r="417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</row>
    <row r="418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</row>
    <row r="419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</row>
    <row r="420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</row>
    <row r="42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</row>
    <row r="422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</row>
    <row r="42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</row>
    <row r="424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</row>
    <row r="425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</row>
    <row r="426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</row>
    <row r="427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</row>
    <row r="428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</row>
    <row r="429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</row>
    <row r="430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</row>
    <row r="43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</row>
    <row r="432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</row>
    <row r="43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</row>
    <row r="434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</row>
    <row r="435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</row>
    <row r="436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</row>
    <row r="437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</row>
    <row r="438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</row>
    <row r="439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</row>
    <row r="440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</row>
    <row r="44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</row>
    <row r="442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</row>
    <row r="44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</row>
    <row r="444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</row>
    <row r="445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</row>
    <row r="446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</row>
    <row r="447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</row>
    <row r="448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</row>
    <row r="449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</row>
    <row r="450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</row>
    <row r="45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</row>
    <row r="452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</row>
    <row r="45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</row>
    <row r="454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</row>
    <row r="455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</row>
    <row r="456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</row>
    <row r="457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</row>
    <row r="458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</row>
    <row r="459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</row>
    <row r="460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</row>
    <row r="46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</row>
    <row r="462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</row>
    <row r="46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</row>
    <row r="464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</row>
    <row r="465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</row>
    <row r="466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</row>
    <row r="467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</row>
    <row r="468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</row>
    <row r="469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</row>
    <row r="470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</row>
    <row r="47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</row>
    <row r="472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</row>
    <row r="47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</row>
    <row r="474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</row>
    <row r="475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</row>
    <row r="476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</row>
    <row r="477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</row>
    <row r="478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</row>
    <row r="479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</row>
    <row r="480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</row>
    <row r="48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</row>
    <row r="482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</row>
    <row r="48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</row>
    <row r="484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</row>
    <row r="485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</row>
    <row r="486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</row>
    <row r="487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</row>
    <row r="488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</row>
    <row r="489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</row>
    <row r="490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</row>
    <row r="49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</row>
    <row r="492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</row>
    <row r="49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</row>
    <row r="494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</row>
    <row r="495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</row>
    <row r="496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</row>
    <row r="497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</row>
    <row r="498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</row>
    <row r="499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</row>
    <row r="500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</row>
    <row r="50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</row>
    <row r="502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</row>
    <row r="50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</row>
    <row r="504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</row>
    <row r="505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</row>
    <row r="506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</row>
    <row r="507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</row>
    <row r="508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</row>
    <row r="509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</row>
    <row r="510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</row>
    <row r="51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</row>
    <row r="512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</row>
    <row r="51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</row>
    <row r="514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</row>
    <row r="515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</row>
    <row r="516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</row>
    <row r="517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</row>
    <row r="518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</row>
    <row r="519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</row>
    <row r="520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</row>
    <row r="52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</row>
    <row r="522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</row>
    <row r="52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</row>
    <row r="524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</row>
    <row r="525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</row>
    <row r="526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</row>
    <row r="527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</row>
    <row r="528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</row>
    <row r="529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</row>
    <row r="530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</row>
    <row r="53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</row>
    <row r="532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</row>
    <row r="53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</row>
    <row r="534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</row>
    <row r="535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</row>
    <row r="536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</row>
    <row r="537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</row>
    <row r="538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</row>
    <row r="539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</row>
    <row r="540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</row>
    <row r="54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</row>
    <row r="542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</row>
    <row r="54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</row>
    <row r="544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</row>
    <row r="545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</row>
    <row r="546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</row>
    <row r="547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</row>
    <row r="548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</row>
    <row r="549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</row>
    <row r="550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</row>
    <row r="55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</row>
    <row r="552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</row>
    <row r="55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</row>
    <row r="554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</row>
    <row r="555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</row>
    <row r="556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</row>
    <row r="557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</row>
    <row r="558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</row>
    <row r="559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</row>
    <row r="560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</row>
    <row r="56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</row>
    <row r="562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</row>
    <row r="56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</row>
    <row r="564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</row>
    <row r="565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</row>
    <row r="566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</row>
    <row r="567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</row>
    <row r="568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</row>
    <row r="569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</row>
    <row r="570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</row>
    <row r="57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</row>
    <row r="572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</row>
    <row r="57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</row>
    <row r="574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</row>
    <row r="575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</row>
    <row r="577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</row>
    <row r="578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</row>
    <row r="579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</row>
    <row r="580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</row>
    <row r="58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</row>
    <row r="582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</row>
    <row r="58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</row>
    <row r="584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</row>
    <row r="585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</row>
    <row r="586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</row>
    <row r="587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</row>
    <row r="588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</row>
    <row r="589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</row>
    <row r="590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</row>
    <row r="59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</row>
    <row r="592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</row>
    <row r="59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</row>
    <row r="594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</row>
    <row r="595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</row>
    <row r="596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</row>
    <row r="597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</row>
    <row r="598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</row>
    <row r="599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</row>
    <row r="600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</row>
    <row r="60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</row>
    <row r="602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</row>
    <row r="60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</row>
    <row r="604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</row>
    <row r="605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</row>
    <row r="606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</row>
    <row r="607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</row>
    <row r="608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</row>
    <row r="609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</row>
    <row r="610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</row>
    <row r="61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</row>
    <row r="612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</row>
    <row r="61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</row>
    <row r="614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</row>
    <row r="615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</row>
    <row r="617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</row>
    <row r="618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</row>
    <row r="619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</row>
    <row r="620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</row>
    <row r="62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</row>
    <row r="622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</row>
    <row r="62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</row>
    <row r="624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</row>
    <row r="625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</row>
    <row r="626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</row>
    <row r="627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</row>
    <row r="628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</row>
    <row r="629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</row>
    <row r="630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</row>
    <row r="63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</row>
    <row r="632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</row>
    <row r="63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</row>
    <row r="634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</row>
    <row r="635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</row>
    <row r="636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</row>
    <row r="637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</row>
    <row r="638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</row>
    <row r="639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</row>
    <row r="640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</row>
    <row r="64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</row>
    <row r="642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</row>
    <row r="64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</row>
    <row r="644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</row>
    <row r="645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</row>
    <row r="646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</row>
    <row r="647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</row>
    <row r="648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</row>
    <row r="649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</row>
    <row r="650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</row>
    <row r="65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</row>
    <row r="652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</row>
    <row r="65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</row>
    <row r="655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</row>
    <row r="656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</row>
    <row r="657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</row>
    <row r="658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</row>
    <row r="659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</row>
    <row r="660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</row>
    <row r="66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</row>
    <row r="662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</row>
    <row r="66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</row>
    <row r="664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</row>
    <row r="665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</row>
    <row r="666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</row>
    <row r="667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</row>
    <row r="668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</row>
    <row r="669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</row>
    <row r="670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</row>
    <row r="67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</row>
    <row r="672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</row>
    <row r="67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</row>
    <row r="674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</row>
    <row r="675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</row>
    <row r="676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</row>
    <row r="677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</row>
    <row r="678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</row>
    <row r="679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</row>
    <row r="680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</row>
    <row r="68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</row>
    <row r="682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</row>
    <row r="68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</row>
    <row r="684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</row>
    <row r="685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</row>
    <row r="686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</row>
    <row r="687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</row>
    <row r="688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</row>
    <row r="689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</row>
    <row r="690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</row>
    <row r="69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</row>
    <row r="692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</row>
    <row r="69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</row>
    <row r="695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</row>
    <row r="696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</row>
    <row r="697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</row>
    <row r="698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</row>
    <row r="699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</row>
    <row r="700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</row>
    <row r="70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</row>
    <row r="702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</row>
    <row r="70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</row>
    <row r="704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</row>
    <row r="705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</row>
    <row r="706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</row>
    <row r="707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</row>
    <row r="708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</row>
    <row r="709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</row>
    <row r="710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</row>
    <row r="71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</row>
    <row r="712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</row>
    <row r="71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</row>
    <row r="714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</row>
    <row r="715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</row>
    <row r="716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</row>
    <row r="717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</row>
    <row r="718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</row>
    <row r="719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</row>
    <row r="720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</row>
    <row r="72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</row>
    <row r="722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</row>
    <row r="72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</row>
    <row r="724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</row>
    <row r="725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</row>
    <row r="726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</row>
    <row r="727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</row>
    <row r="728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</row>
    <row r="729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</row>
    <row r="730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</row>
    <row r="73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</row>
    <row r="732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</row>
    <row r="73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</row>
    <row r="734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</row>
    <row r="735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</row>
    <row r="736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</row>
    <row r="737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</row>
    <row r="738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</row>
    <row r="739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</row>
    <row r="740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</row>
    <row r="74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</row>
    <row r="742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</row>
    <row r="74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</row>
    <row r="744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</row>
    <row r="745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</row>
    <row r="746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</row>
    <row r="747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</row>
    <row r="748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</row>
    <row r="749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</row>
    <row r="750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</row>
    <row r="75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</row>
    <row r="752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</row>
    <row r="75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</row>
    <row r="754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</row>
    <row r="755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</row>
    <row r="756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</row>
    <row r="757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</row>
    <row r="758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</row>
    <row r="759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</row>
    <row r="760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</row>
    <row r="76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</row>
    <row r="762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</row>
    <row r="76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</row>
    <row r="764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</row>
    <row r="765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</row>
    <row r="766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</row>
    <row r="767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</row>
    <row r="768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</row>
    <row r="769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</row>
    <row r="770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</row>
    <row r="77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</row>
    <row r="772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</row>
    <row r="77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</row>
    <row r="774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</row>
    <row r="775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</row>
    <row r="776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</row>
    <row r="777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</row>
    <row r="778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</row>
    <row r="779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</row>
    <row r="780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</row>
    <row r="78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</row>
    <row r="782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</row>
    <row r="78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</row>
    <row r="784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</row>
    <row r="785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</row>
    <row r="786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</row>
    <row r="787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</row>
    <row r="788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</row>
    <row r="789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</row>
    <row r="790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</row>
    <row r="79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</row>
    <row r="792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</row>
    <row r="79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</row>
    <row r="794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</row>
    <row r="795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</row>
    <row r="796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</row>
    <row r="797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</row>
    <row r="798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</row>
    <row r="799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</row>
    <row r="800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</row>
    <row r="80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</row>
    <row r="802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</row>
    <row r="80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</row>
    <row r="804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</row>
    <row r="805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</row>
    <row r="806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</row>
    <row r="807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</row>
    <row r="808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</row>
    <row r="809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</row>
    <row r="810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</row>
    <row r="81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</row>
    <row r="812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</row>
    <row r="81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</row>
    <row r="814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</row>
    <row r="815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</row>
    <row r="816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</row>
    <row r="817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</row>
    <row r="818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</row>
    <row r="819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</row>
    <row r="820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</row>
    <row r="82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</row>
    <row r="822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</row>
    <row r="82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</row>
    <row r="824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</row>
    <row r="825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</row>
    <row r="826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</row>
    <row r="827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</row>
    <row r="828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</row>
    <row r="829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</row>
    <row r="830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</row>
    <row r="83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</row>
    <row r="832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</row>
    <row r="83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</row>
    <row r="834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</row>
    <row r="835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</row>
    <row r="836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</row>
    <row r="837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</row>
    <row r="838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</row>
    <row r="839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</row>
    <row r="840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</row>
    <row r="84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</row>
    <row r="842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</row>
    <row r="84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</row>
    <row r="844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</row>
    <row r="845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</row>
    <row r="846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</row>
    <row r="847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</row>
    <row r="848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</row>
    <row r="849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</row>
    <row r="850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</row>
    <row r="85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</row>
    <row r="852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</row>
    <row r="85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</row>
    <row r="854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</row>
    <row r="855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</row>
    <row r="856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</row>
    <row r="857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</row>
    <row r="858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</row>
    <row r="859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</row>
    <row r="860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</row>
    <row r="86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</row>
    <row r="862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</row>
    <row r="86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</row>
    <row r="864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</row>
    <row r="865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</row>
    <row r="866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</row>
    <row r="867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</row>
    <row r="868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</row>
    <row r="869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</row>
    <row r="870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</row>
    <row r="87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</row>
    <row r="872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</row>
    <row r="87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</row>
    <row r="874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</row>
    <row r="875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</row>
    <row r="876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</row>
    <row r="877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</row>
    <row r="878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</row>
    <row r="879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</row>
    <row r="880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</row>
    <row r="88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</row>
    <row r="882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</row>
    <row r="88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</row>
    <row r="884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</row>
    <row r="885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</row>
    <row r="886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</row>
    <row r="887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</row>
    <row r="888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</row>
    <row r="889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</row>
    <row r="890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</row>
    <row r="89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</row>
    <row r="892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</row>
    <row r="89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</row>
    <row r="894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</row>
    <row r="895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</row>
    <row r="896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</row>
    <row r="897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</row>
    <row r="898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</row>
    <row r="899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</row>
    <row r="900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</row>
    <row r="90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</row>
    <row r="902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</row>
    <row r="90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</row>
    <row r="904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</row>
    <row r="905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</row>
    <row r="906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</row>
    <row r="907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</row>
    <row r="908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</row>
    <row r="909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</row>
    <row r="910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</row>
    <row r="91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</row>
    <row r="912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</row>
    <row r="91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</row>
    <row r="914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</row>
    <row r="915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</row>
    <row r="916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</row>
    <row r="917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</row>
    <row r="918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</row>
    <row r="919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</row>
    <row r="920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</row>
    <row r="92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</row>
    <row r="922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</row>
    <row r="92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</row>
    <row r="924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</row>
    <row r="925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</row>
    <row r="926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</row>
    <row r="927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</row>
    <row r="928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</row>
    <row r="929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</row>
    <row r="930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</row>
    <row r="93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</row>
    <row r="932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</row>
    <row r="93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</row>
    <row r="934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</row>
    <row r="935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</row>
    <row r="936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</row>
    <row r="937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</row>
    <row r="938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</row>
    <row r="939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</row>
    <row r="940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</row>
    <row r="94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</row>
    <row r="942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</row>
  </sheetData>
  <mergeCells count="29"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C38:E38"/>
    <mergeCell ref="F38:H38"/>
    <mergeCell ref="I38:J38"/>
    <mergeCell ref="C39:E39"/>
    <mergeCell ref="F39:H39"/>
    <mergeCell ref="I39:J39"/>
    <mergeCell ref="I44:J44"/>
    <mergeCell ref="M44:N44"/>
    <mergeCell ref="O27:Q27"/>
    <mergeCell ref="O28:Q28"/>
    <mergeCell ref="O29:Q29"/>
    <mergeCell ref="O30:Q30"/>
    <mergeCell ref="O31:Q31"/>
    <mergeCell ref="O32:Q32"/>
    <mergeCell ref="O35:Q35"/>
  </mergeCells>
  <conditionalFormatting sqref="C33:N33">
    <cfRule type="cellIs" dxfId="0" priority="1" operator="greaterThan">
      <formula>0</formula>
    </cfRule>
  </conditionalFormatting>
  <conditionalFormatting sqref="C33:N33">
    <cfRule type="cellIs" dxfId="1" priority="2" operator="lessThan">
      <formula>-840</formula>
    </cfRule>
  </conditionalFormatting>
  <conditionalFormatting sqref="C33:N33">
    <cfRule type="cellIs" dxfId="2" priority="3" operator="between">
      <formula>0</formula>
      <formula>-840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5.13" defaultRowHeight="15.0"/>
  <cols>
    <col customWidth="1" min="1" max="1" width="3.75"/>
    <col customWidth="1" min="2" max="2" width="23.88"/>
    <col customWidth="1" min="3" max="14" width="10.75"/>
    <col customWidth="1" min="15" max="15" width="8.25"/>
    <col customWidth="1" min="16" max="17" width="1.5"/>
  </cols>
  <sheetData>
    <row r="1">
      <c r="A1" s="1"/>
      <c r="B1" s="2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  <c r="N1" s="2"/>
      <c r="O1" s="4"/>
      <c r="P1" s="4"/>
      <c r="Q1" s="5"/>
    </row>
    <row r="2">
      <c r="A2" s="6"/>
      <c r="B2" s="7" t="s">
        <v>50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34">
        <v>44600.0</v>
      </c>
      <c r="P2" s="10"/>
      <c r="Q2" s="11"/>
    </row>
    <row r="3">
      <c r="A3" s="12" t="s">
        <v>2</v>
      </c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5"/>
      <c r="P3" s="16"/>
      <c r="Q3" s="11"/>
    </row>
    <row r="4">
      <c r="A4" s="17">
        <v>1.0</v>
      </c>
      <c r="B4" s="18" t="s">
        <v>16</v>
      </c>
      <c r="C4" s="18">
        <v>105.61</v>
      </c>
      <c r="D4" s="18">
        <f t="shared" ref="D4:N4" si="1">C32</f>
        <v>105.61</v>
      </c>
      <c r="E4" s="18">
        <f t="shared" si="1"/>
        <v>1084.14</v>
      </c>
      <c r="F4" s="18">
        <f t="shared" si="1"/>
        <v>2853.28</v>
      </c>
      <c r="G4" s="18">
        <f t="shared" si="1"/>
        <v>5019.94</v>
      </c>
      <c r="H4" s="18">
        <f t="shared" si="1"/>
        <v>7257.6</v>
      </c>
      <c r="I4" s="18">
        <f t="shared" si="1"/>
        <v>9495.26</v>
      </c>
      <c r="J4" s="18">
        <f t="shared" si="1"/>
        <v>11732.92</v>
      </c>
      <c r="K4" s="18">
        <f t="shared" si="1"/>
        <v>13970.58</v>
      </c>
      <c r="L4" s="18">
        <f t="shared" si="1"/>
        <v>16208.24</v>
      </c>
      <c r="M4" s="18">
        <f t="shared" si="1"/>
        <v>24418.57</v>
      </c>
      <c r="N4" s="18">
        <f t="shared" si="1"/>
        <v>26897.51</v>
      </c>
      <c r="O4" s="15"/>
      <c r="P4" s="16"/>
      <c r="Q4" s="11"/>
    </row>
    <row r="5">
      <c r="A5" s="20">
        <v>2.0</v>
      </c>
      <c r="B5" s="20" t="s">
        <v>17</v>
      </c>
      <c r="C5" s="22">
        <v>3546.0</v>
      </c>
      <c r="D5" s="21">
        <f>3558+4393</f>
        <v>7951</v>
      </c>
      <c r="E5" s="21">
        <v>3546.0</v>
      </c>
      <c r="F5" s="21">
        <v>3546.0</v>
      </c>
      <c r="G5" s="21">
        <v>3546.0</v>
      </c>
      <c r="H5" s="21">
        <v>3546.0</v>
      </c>
      <c r="I5" s="21">
        <v>3546.0</v>
      </c>
      <c r="J5" s="21">
        <v>3546.0</v>
      </c>
      <c r="K5" s="21">
        <v>3546.0</v>
      </c>
      <c r="L5" s="21">
        <v>3546.0</v>
      </c>
      <c r="M5" s="21">
        <v>3546.0</v>
      </c>
      <c r="N5" s="21">
        <f>3546*2</f>
        <v>7092</v>
      </c>
      <c r="O5" s="15"/>
      <c r="P5" s="16"/>
      <c r="Q5" s="11"/>
    </row>
    <row r="6">
      <c r="A6" s="20">
        <v>3.0</v>
      </c>
      <c r="B6" s="20" t="s">
        <v>51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15"/>
      <c r="P6" s="16"/>
      <c r="Q6" s="11"/>
    </row>
    <row r="7">
      <c r="A7" s="20">
        <v>4.0</v>
      </c>
      <c r="B7" s="20" t="s">
        <v>20</v>
      </c>
      <c r="C7" s="135">
        <v>580.0</v>
      </c>
      <c r="D7" s="136">
        <f>100+80+82.5+80+49.9</f>
        <v>392.4</v>
      </c>
      <c r="E7" s="21">
        <v>629.9</v>
      </c>
      <c r="F7" s="21">
        <v>629.9</v>
      </c>
      <c r="G7" s="21">
        <v>629.9</v>
      </c>
      <c r="H7" s="21">
        <v>629.9</v>
      </c>
      <c r="I7" s="21">
        <v>629.9</v>
      </c>
      <c r="J7" s="21">
        <v>629.9</v>
      </c>
      <c r="K7" s="21">
        <v>629.9</v>
      </c>
      <c r="L7" s="21">
        <v>629.9</v>
      </c>
      <c r="M7" s="21">
        <v>629.9</v>
      </c>
      <c r="N7" s="21">
        <v>629.9</v>
      </c>
      <c r="O7" s="15"/>
      <c r="P7" s="16"/>
      <c r="Q7" s="11"/>
    </row>
    <row r="8">
      <c r="A8" s="20">
        <v>5.0</v>
      </c>
      <c r="B8" s="26" t="s">
        <v>21</v>
      </c>
      <c r="C8" s="27"/>
      <c r="D8" s="21">
        <f>4.01+4.5+0.06</f>
        <v>8.57</v>
      </c>
      <c r="E8" s="28"/>
      <c r="F8" s="28"/>
      <c r="G8" s="28"/>
      <c r="H8" s="28"/>
      <c r="I8" s="28"/>
      <c r="J8" s="28"/>
      <c r="K8" s="28"/>
      <c r="L8" s="21">
        <v>5731.39</v>
      </c>
      <c r="M8" s="28"/>
      <c r="N8" s="28"/>
      <c r="O8" s="15"/>
      <c r="P8" s="16"/>
      <c r="Q8" s="11"/>
    </row>
    <row r="9">
      <c r="A9" s="31"/>
      <c r="B9" s="32" t="s">
        <v>22</v>
      </c>
      <c r="C9" s="33">
        <f t="shared" ref="C9:N9" si="2">SUM(C4:C8)</f>
        <v>4231.61</v>
      </c>
      <c r="D9" s="33">
        <f t="shared" si="2"/>
        <v>8457.58</v>
      </c>
      <c r="E9" s="33">
        <f t="shared" si="2"/>
        <v>5260.04</v>
      </c>
      <c r="F9" s="33">
        <f t="shared" si="2"/>
        <v>7029.18</v>
      </c>
      <c r="G9" s="33">
        <f t="shared" si="2"/>
        <v>9195.84</v>
      </c>
      <c r="H9" s="33">
        <f t="shared" si="2"/>
        <v>11433.5</v>
      </c>
      <c r="I9" s="33">
        <f t="shared" si="2"/>
        <v>13671.16</v>
      </c>
      <c r="J9" s="33">
        <f t="shared" si="2"/>
        <v>15908.82</v>
      </c>
      <c r="K9" s="33">
        <f t="shared" si="2"/>
        <v>18146.48</v>
      </c>
      <c r="L9" s="33">
        <f t="shared" si="2"/>
        <v>26115.53</v>
      </c>
      <c r="M9" s="33">
        <f t="shared" si="2"/>
        <v>28594.47</v>
      </c>
      <c r="N9" s="33">
        <f t="shared" si="2"/>
        <v>34619.41</v>
      </c>
      <c r="O9" s="34"/>
      <c r="P9" s="16"/>
      <c r="Q9" s="11"/>
    </row>
    <row r="10">
      <c r="A10" s="35"/>
      <c r="B10" s="36" t="s">
        <v>23</v>
      </c>
      <c r="C10" s="37">
        <f t="shared" ref="C10:N10" si="3">sum(C5:C8)</f>
        <v>4126</v>
      </c>
      <c r="D10" s="37">
        <f t="shared" si="3"/>
        <v>8351.97</v>
      </c>
      <c r="E10" s="37">
        <f t="shared" si="3"/>
        <v>4175.9</v>
      </c>
      <c r="F10" s="37">
        <f t="shared" si="3"/>
        <v>4175.9</v>
      </c>
      <c r="G10" s="37">
        <f t="shared" si="3"/>
        <v>4175.9</v>
      </c>
      <c r="H10" s="37">
        <f t="shared" si="3"/>
        <v>4175.9</v>
      </c>
      <c r="I10" s="37">
        <f t="shared" si="3"/>
        <v>4175.9</v>
      </c>
      <c r="J10" s="37">
        <f t="shared" si="3"/>
        <v>4175.9</v>
      </c>
      <c r="K10" s="37">
        <f t="shared" si="3"/>
        <v>4175.9</v>
      </c>
      <c r="L10" s="37">
        <f t="shared" si="3"/>
        <v>9907.29</v>
      </c>
      <c r="M10" s="37">
        <f t="shared" si="3"/>
        <v>4175.9</v>
      </c>
      <c r="N10" s="37">
        <f t="shared" si="3"/>
        <v>7721.9</v>
      </c>
      <c r="O10" s="15"/>
      <c r="P10" s="16"/>
      <c r="Q10" s="11"/>
    </row>
    <row r="11" ht="11.25" customHeight="1">
      <c r="A11" s="38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  <c r="P11" s="42"/>
      <c r="Q11" s="11"/>
    </row>
    <row r="12">
      <c r="A12" s="43"/>
      <c r="B12" s="2"/>
      <c r="C12" s="2"/>
      <c r="D12" s="2"/>
      <c r="E12" s="2"/>
      <c r="F12" s="2"/>
      <c r="G12" s="2"/>
      <c r="H12" s="3" t="s">
        <v>24</v>
      </c>
      <c r="I12" s="2"/>
      <c r="J12" s="2"/>
      <c r="K12" s="2"/>
      <c r="L12" s="2"/>
      <c r="M12" s="2"/>
      <c r="N12" s="2"/>
      <c r="O12" s="4"/>
      <c r="P12" s="4"/>
      <c r="Q12" s="5"/>
    </row>
    <row r="13">
      <c r="A13" s="44" t="s">
        <v>2</v>
      </c>
      <c r="B13" s="45" t="s">
        <v>3</v>
      </c>
      <c r="C13" s="46" t="s">
        <v>4</v>
      </c>
      <c r="D13" s="46" t="s">
        <v>5</v>
      </c>
      <c r="E13" s="46" t="s">
        <v>6</v>
      </c>
      <c r="F13" s="46" t="s">
        <v>7</v>
      </c>
      <c r="G13" s="46" t="s">
        <v>8</v>
      </c>
      <c r="H13" s="46" t="s">
        <v>9</v>
      </c>
      <c r="I13" s="46" t="s">
        <v>10</v>
      </c>
      <c r="J13" s="46" t="s">
        <v>11</v>
      </c>
      <c r="K13" s="46" t="s">
        <v>12</v>
      </c>
      <c r="L13" s="46" t="s">
        <v>13</v>
      </c>
      <c r="M13" s="46" t="s">
        <v>14</v>
      </c>
      <c r="N13" s="46" t="s">
        <v>15</v>
      </c>
      <c r="O13" s="47" t="s">
        <v>25</v>
      </c>
      <c r="P13" s="48"/>
      <c r="Q13" s="49"/>
    </row>
    <row r="14">
      <c r="A14" s="50">
        <v>1.0</v>
      </c>
      <c r="B14" s="51" t="s">
        <v>26</v>
      </c>
      <c r="C14" s="52">
        <v>367.0</v>
      </c>
      <c r="D14" s="53">
        <v>364.16</v>
      </c>
      <c r="E14" s="52">
        <v>360.0</v>
      </c>
      <c r="F14" s="52">
        <v>360.0</v>
      </c>
      <c r="G14" s="52">
        <v>360.0</v>
      </c>
      <c r="H14" s="52">
        <v>360.0</v>
      </c>
      <c r="I14" s="52">
        <v>360.0</v>
      </c>
      <c r="J14" s="52">
        <v>360.0</v>
      </c>
      <c r="K14" s="52">
        <v>360.0</v>
      </c>
      <c r="L14" s="52">
        <v>360.0</v>
      </c>
      <c r="M14" s="52">
        <v>360.0</v>
      </c>
      <c r="N14" s="52">
        <v>360.0</v>
      </c>
      <c r="O14" s="54">
        <f t="shared" ref="O14:O31" si="4">sum(C14:N14)</f>
        <v>4331.16</v>
      </c>
      <c r="P14" s="55"/>
      <c r="Q14" s="56"/>
    </row>
    <row r="15">
      <c r="A15" s="50">
        <v>2.0</v>
      </c>
      <c r="B15" s="51" t="s">
        <v>27</v>
      </c>
      <c r="C15" s="52">
        <v>0.0</v>
      </c>
      <c r="D15" s="57">
        <f>273.17+209.36</f>
        <v>482.53</v>
      </c>
      <c r="E15" s="52">
        <v>209.36</v>
      </c>
      <c r="F15" s="52">
        <v>209.36</v>
      </c>
      <c r="G15" s="52">
        <v>209.36</v>
      </c>
      <c r="H15" s="52">
        <v>209.36</v>
      </c>
      <c r="I15" s="52">
        <v>209.36</v>
      </c>
      <c r="J15" s="52">
        <v>209.36</v>
      </c>
      <c r="K15" s="52">
        <v>209.36</v>
      </c>
      <c r="L15" s="52">
        <v>209.36</v>
      </c>
      <c r="M15" s="52">
        <v>209.36</v>
      </c>
      <c r="N15" s="52">
        <v>209.36</v>
      </c>
      <c r="O15" s="54">
        <f t="shared" si="4"/>
        <v>2576.13</v>
      </c>
      <c r="P15" s="55"/>
      <c r="Q15" s="56"/>
    </row>
    <row r="16">
      <c r="A16" s="50">
        <v>3.0</v>
      </c>
      <c r="B16" s="51" t="s">
        <v>52</v>
      </c>
      <c r="C16" s="52">
        <v>125.0</v>
      </c>
      <c r="D16" s="53">
        <v>125.0</v>
      </c>
      <c r="E16" s="52">
        <v>130.0</v>
      </c>
      <c r="F16" s="52">
        <v>130.0</v>
      </c>
      <c r="G16" s="52">
        <v>130.0</v>
      </c>
      <c r="H16" s="52">
        <v>130.0</v>
      </c>
      <c r="I16" s="52">
        <v>130.0</v>
      </c>
      <c r="J16" s="52">
        <v>130.0</v>
      </c>
      <c r="K16" s="52">
        <v>130.0</v>
      </c>
      <c r="L16" s="52">
        <v>130.0</v>
      </c>
      <c r="M16" s="52">
        <v>130.0</v>
      </c>
      <c r="N16" s="52">
        <v>130.0</v>
      </c>
      <c r="O16" s="54">
        <f t="shared" si="4"/>
        <v>1550</v>
      </c>
      <c r="P16" s="55"/>
      <c r="Q16" s="56"/>
    </row>
    <row r="17">
      <c r="A17" s="50">
        <v>4.0</v>
      </c>
      <c r="B17" s="51" t="s">
        <v>53</v>
      </c>
      <c r="C17" s="52">
        <v>100.0</v>
      </c>
      <c r="D17" s="53">
        <v>80.0</v>
      </c>
      <c r="E17" s="52">
        <v>80.0</v>
      </c>
      <c r="F17" s="52">
        <v>80.0</v>
      </c>
      <c r="G17" s="52">
        <v>80.0</v>
      </c>
      <c r="H17" s="52">
        <v>80.0</v>
      </c>
      <c r="I17" s="52">
        <v>80.0</v>
      </c>
      <c r="J17" s="52">
        <v>80.0</v>
      </c>
      <c r="K17" s="52">
        <v>80.0</v>
      </c>
      <c r="L17" s="52">
        <v>80.0</v>
      </c>
      <c r="M17" s="52">
        <v>80.0</v>
      </c>
      <c r="N17" s="52">
        <v>80.0</v>
      </c>
      <c r="O17" s="54">
        <f t="shared" si="4"/>
        <v>980</v>
      </c>
      <c r="P17" s="55"/>
      <c r="Q17" s="56"/>
    </row>
    <row r="18">
      <c r="A18" s="50">
        <v>5.0</v>
      </c>
      <c r="B18" s="51" t="s">
        <v>54</v>
      </c>
      <c r="C18" s="52">
        <v>241.28</v>
      </c>
      <c r="D18" s="53">
        <v>241.28</v>
      </c>
      <c r="E18" s="52">
        <v>241.28</v>
      </c>
      <c r="F18" s="52">
        <v>241.28</v>
      </c>
      <c r="G18" s="52">
        <v>241.28</v>
      </c>
      <c r="H18" s="52">
        <v>241.28</v>
      </c>
      <c r="I18" s="52">
        <v>241.28</v>
      </c>
      <c r="J18" s="52">
        <v>241.28</v>
      </c>
      <c r="K18" s="52">
        <v>241.28</v>
      </c>
      <c r="L18" s="83"/>
      <c r="M18" s="83"/>
      <c r="N18" s="83"/>
      <c r="O18" s="54">
        <f t="shared" si="4"/>
        <v>2171.52</v>
      </c>
      <c r="P18" s="55"/>
      <c r="Q18" s="56"/>
    </row>
    <row r="19">
      <c r="A19" s="50">
        <v>6.0</v>
      </c>
      <c r="B19" s="51" t="s">
        <v>32</v>
      </c>
      <c r="C19" s="52"/>
      <c r="D19" s="53">
        <v>398.87</v>
      </c>
      <c r="E19" s="52">
        <f>30.15+39.9+40+30+22.93+12.09+15.94+7.4+24.97+40.59+19.98+10.98+3+28.9+13.9+30.94+14.95+10.9</f>
        <v>397.52</v>
      </c>
      <c r="F19" s="52"/>
      <c r="G19" s="83"/>
      <c r="H19" s="83"/>
      <c r="I19" s="83"/>
      <c r="J19" s="83"/>
      <c r="K19" s="83"/>
      <c r="L19" s="83"/>
      <c r="M19" s="83"/>
      <c r="N19" s="83"/>
      <c r="O19" s="54">
        <f t="shared" si="4"/>
        <v>796.39</v>
      </c>
      <c r="P19" s="55"/>
      <c r="Q19" s="56"/>
    </row>
    <row r="20">
      <c r="A20" s="50">
        <v>7.0</v>
      </c>
      <c r="B20" s="51" t="s">
        <v>55</v>
      </c>
      <c r="C20" s="52">
        <v>71.0</v>
      </c>
      <c r="D20" s="53">
        <v>69.85</v>
      </c>
      <c r="E20" s="52">
        <v>71.0</v>
      </c>
      <c r="F20" s="52">
        <v>71.0</v>
      </c>
      <c r="G20" s="83"/>
      <c r="H20" s="83"/>
      <c r="I20" s="83"/>
      <c r="J20" s="83"/>
      <c r="K20" s="83"/>
      <c r="L20" s="83"/>
      <c r="M20" s="83"/>
      <c r="N20" s="83"/>
      <c r="O20" s="54">
        <f t="shared" si="4"/>
        <v>282.85</v>
      </c>
      <c r="P20" s="55"/>
      <c r="Q20" s="56"/>
    </row>
    <row r="21">
      <c r="A21" s="50">
        <v>8.0</v>
      </c>
      <c r="B21" s="51" t="s">
        <v>29</v>
      </c>
      <c r="C21" s="52">
        <v>30.0</v>
      </c>
      <c r="D21" s="137">
        <f>15+20</f>
        <v>35</v>
      </c>
      <c r="E21" s="52">
        <v>30.0</v>
      </c>
      <c r="F21" s="52">
        <v>30.0</v>
      </c>
      <c r="G21" s="52">
        <v>30.0</v>
      </c>
      <c r="H21" s="52">
        <v>30.0</v>
      </c>
      <c r="I21" s="52">
        <v>30.0</v>
      </c>
      <c r="J21" s="52">
        <v>30.0</v>
      </c>
      <c r="K21" s="52">
        <v>30.0</v>
      </c>
      <c r="L21" s="52">
        <v>30.0</v>
      </c>
      <c r="M21" s="52">
        <v>30.0</v>
      </c>
      <c r="N21" s="52">
        <v>30.0</v>
      </c>
      <c r="O21" s="54">
        <f t="shared" si="4"/>
        <v>365</v>
      </c>
      <c r="P21" s="55"/>
      <c r="Q21" s="56"/>
    </row>
    <row r="22">
      <c r="A22" s="50">
        <v>9.0</v>
      </c>
      <c r="B22" s="51" t="s">
        <v>56</v>
      </c>
      <c r="C22" s="83"/>
      <c r="D22" s="138">
        <f>24.9</f>
        <v>24.9</v>
      </c>
      <c r="E22" s="83">
        <f t="shared" ref="E22:N22" si="5">24.9+39.9</f>
        <v>64.8</v>
      </c>
      <c r="F22" s="83">
        <f t="shared" si="5"/>
        <v>64.8</v>
      </c>
      <c r="G22" s="83">
        <f t="shared" si="5"/>
        <v>64.8</v>
      </c>
      <c r="H22" s="83">
        <f t="shared" si="5"/>
        <v>64.8</v>
      </c>
      <c r="I22" s="83">
        <f t="shared" si="5"/>
        <v>64.8</v>
      </c>
      <c r="J22" s="83">
        <f t="shared" si="5"/>
        <v>64.8</v>
      </c>
      <c r="K22" s="83">
        <f t="shared" si="5"/>
        <v>64.8</v>
      </c>
      <c r="L22" s="83">
        <f t="shared" si="5"/>
        <v>64.8</v>
      </c>
      <c r="M22" s="83">
        <f t="shared" si="5"/>
        <v>64.8</v>
      </c>
      <c r="N22" s="83">
        <f t="shared" si="5"/>
        <v>64.8</v>
      </c>
      <c r="O22" s="54">
        <f t="shared" si="4"/>
        <v>672.9</v>
      </c>
      <c r="P22" s="55"/>
      <c r="Q22" s="56"/>
    </row>
    <row r="23">
      <c r="A23" s="50">
        <v>10.0</v>
      </c>
      <c r="B23" s="51" t="s">
        <v>57</v>
      </c>
      <c r="C23" s="83"/>
      <c r="D23" s="139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54">
        <f t="shared" si="4"/>
        <v>0</v>
      </c>
      <c r="P23" s="55"/>
      <c r="Q23" s="56"/>
    </row>
    <row r="24">
      <c r="A24" s="50">
        <v>11.0</v>
      </c>
      <c r="B24" s="51" t="s">
        <v>58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54">
        <f t="shared" si="4"/>
        <v>0</v>
      </c>
      <c r="P24" s="55"/>
      <c r="Q24" s="56"/>
    </row>
    <row r="25">
      <c r="A25" s="50">
        <v>12.0</v>
      </c>
      <c r="B25" s="51" t="s">
        <v>38</v>
      </c>
      <c r="C25" s="52">
        <v>235.0</v>
      </c>
      <c r="D25" s="52">
        <f>147.9+20+20</f>
        <v>187.9</v>
      </c>
      <c r="E25" s="52">
        <f t="shared" ref="E25:N25" si="6">155+80</f>
        <v>235</v>
      </c>
      <c r="F25" s="52">
        <f t="shared" si="6"/>
        <v>235</v>
      </c>
      <c r="G25" s="52">
        <f t="shared" si="6"/>
        <v>235</v>
      </c>
      <c r="H25" s="52">
        <f t="shared" si="6"/>
        <v>235</v>
      </c>
      <c r="I25" s="52">
        <f t="shared" si="6"/>
        <v>235</v>
      </c>
      <c r="J25" s="52">
        <f t="shared" si="6"/>
        <v>235</v>
      </c>
      <c r="K25" s="52">
        <f t="shared" si="6"/>
        <v>235</v>
      </c>
      <c r="L25" s="52">
        <f t="shared" si="6"/>
        <v>235</v>
      </c>
      <c r="M25" s="52">
        <f t="shared" si="6"/>
        <v>235</v>
      </c>
      <c r="N25" s="52">
        <f t="shared" si="6"/>
        <v>235</v>
      </c>
      <c r="O25" s="54">
        <f t="shared" si="4"/>
        <v>2772.9</v>
      </c>
      <c r="P25" s="55"/>
      <c r="Q25" s="56"/>
    </row>
    <row r="26">
      <c r="A26" s="50">
        <v>13.0</v>
      </c>
      <c r="B26" s="51" t="s">
        <v>59</v>
      </c>
      <c r="C26" s="52">
        <v>200.0</v>
      </c>
      <c r="D26" s="52">
        <f>64+49.86+86+65+40+55+34+18.48</f>
        <v>412.34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54">
        <f t="shared" si="4"/>
        <v>612.34</v>
      </c>
      <c r="P26" s="55"/>
      <c r="Q26" s="56"/>
    </row>
    <row r="27">
      <c r="A27" s="50">
        <v>14.0</v>
      </c>
      <c r="B27" s="51" t="s">
        <v>39</v>
      </c>
      <c r="C27" s="52">
        <v>500.0</v>
      </c>
      <c r="D27" s="140">
        <f>SUMIFS('Registros Detalhados'!$A:$A,'Registros Detalhados'!$B:$B,$B$27,'Registros Detalhados'!$D:$D,D13)</f>
        <v>909.12</v>
      </c>
      <c r="E27" s="140">
        <f>SUMIFS('Registros Detalhados'!$A:$A,'Registros Detalhados'!$B:$B,$B$27,'Registros Detalhados'!$D:$D,E13)</f>
        <v>500</v>
      </c>
      <c r="F27" s="140">
        <f>SUMIFS('Registros Detalhados'!$A:$A,'Registros Detalhados'!$B:$B,$B$27,'Registros Detalhados'!$D:$D,F13)</f>
        <v>500</v>
      </c>
      <c r="G27" s="140">
        <f>SUMIFS('Registros Detalhados'!$A:$A,'Registros Detalhados'!$B:$B,$B$27,'Registros Detalhados'!$D:$D,G13)</f>
        <v>500</v>
      </c>
      <c r="H27" s="140">
        <f>SUMIFS('Registros Detalhados'!$A:$A,'Registros Detalhados'!$B:$B,$B$27,'Registros Detalhados'!$D:$D,H13)</f>
        <v>500</v>
      </c>
      <c r="I27" s="140">
        <f>SUMIFS('Registros Detalhados'!$A:$A,'Registros Detalhados'!$B:$B,$B$27,'Registros Detalhados'!$D:$D,I13)</f>
        <v>500</v>
      </c>
      <c r="J27" s="140">
        <f>SUMIFS('Registros Detalhados'!$A:$A,'Registros Detalhados'!$B:$B,$B$27,'Registros Detalhados'!$D:$D,J13)</f>
        <v>500</v>
      </c>
      <c r="K27" s="140">
        <f>SUMIFS('Registros Detalhados'!$A:$A,'Registros Detalhados'!$B:$B,$B$27,'Registros Detalhados'!$D:$D,K13)</f>
        <v>500</v>
      </c>
      <c r="L27" s="140">
        <f>SUMIFS('Registros Detalhados'!$A:$A,'Registros Detalhados'!$B:$B,$B$27,'Registros Detalhados'!$D:$D,L13)</f>
        <v>500</v>
      </c>
      <c r="M27" s="140">
        <f>SUMIFS('Registros Detalhados'!$A:$A,'Registros Detalhados'!$B:$B,$B$27,'Registros Detalhados'!$D:$D,M13)</f>
        <v>500</v>
      </c>
      <c r="N27" s="140">
        <f>SUMIFS('Registros Detalhados'!$A:$A,'Registros Detalhados'!$B:$B,$B$27,'Registros Detalhados'!$D:$D,N13)</f>
        <v>500</v>
      </c>
      <c r="O27" s="54">
        <f t="shared" si="4"/>
        <v>6409.12</v>
      </c>
      <c r="P27" s="55"/>
      <c r="Q27" s="56"/>
    </row>
    <row r="28">
      <c r="A28" s="50">
        <v>15.0</v>
      </c>
      <c r="B28" s="51" t="s">
        <v>60</v>
      </c>
      <c r="C28" s="52">
        <v>87.5</v>
      </c>
      <c r="D28" s="53">
        <v>87.8</v>
      </c>
      <c r="E28" s="52">
        <v>87.8</v>
      </c>
      <c r="F28" s="52">
        <v>87.8</v>
      </c>
      <c r="G28" s="52">
        <v>87.8</v>
      </c>
      <c r="H28" s="52">
        <v>87.8</v>
      </c>
      <c r="I28" s="52">
        <v>87.8</v>
      </c>
      <c r="J28" s="52">
        <v>87.8</v>
      </c>
      <c r="K28" s="52">
        <v>87.8</v>
      </c>
      <c r="L28" s="52">
        <v>87.8</v>
      </c>
      <c r="M28" s="52">
        <v>87.8</v>
      </c>
      <c r="N28" s="52">
        <v>87.8</v>
      </c>
      <c r="O28" s="54">
        <f t="shared" si="4"/>
        <v>1053.3</v>
      </c>
      <c r="P28" s="55"/>
      <c r="Q28" s="56"/>
    </row>
    <row r="29">
      <c r="A29" s="50">
        <v>16.0</v>
      </c>
      <c r="B29" s="51" t="s">
        <v>61</v>
      </c>
      <c r="C29" s="52"/>
      <c r="D29" s="52">
        <f>9.97+15+1.39+10.14+10.77+46+9+32+28+15+5.77+3.59+5.39+9.68+29.85+7.18+6.68+5.39</f>
        <v>250.8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54">
        <f t="shared" si="4"/>
        <v>250.8</v>
      </c>
      <c r="P29" s="55"/>
      <c r="Q29" s="56"/>
    </row>
    <row r="30">
      <c r="A30" s="50">
        <v>17.0</v>
      </c>
      <c r="B30" s="51" t="s">
        <v>21</v>
      </c>
      <c r="C30" s="52">
        <f>500+400+1269.22</f>
        <v>2169.22</v>
      </c>
      <c r="D30" s="52">
        <f>2754+500+16.96+12.9+15+4.2+35.08+30+17.99+97.93+25.8+14+15.07+6+12+60+25+25+18.99+15+2.97</f>
        <v>3703.89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54">
        <f t="shared" si="4"/>
        <v>5873.11</v>
      </c>
      <c r="P30" s="55"/>
      <c r="Q30" s="56"/>
    </row>
    <row r="31">
      <c r="A31" s="31"/>
      <c r="B31" s="88" t="s">
        <v>43</v>
      </c>
      <c r="C31" s="89">
        <f t="shared" ref="C31:N31" si="7">SUM(C14:C30)</f>
        <v>4126</v>
      </c>
      <c r="D31" s="89">
        <f t="shared" si="7"/>
        <v>7373.44</v>
      </c>
      <c r="E31" s="89">
        <f t="shared" si="7"/>
        <v>2406.76</v>
      </c>
      <c r="F31" s="89">
        <f t="shared" si="7"/>
        <v>2009.24</v>
      </c>
      <c r="G31" s="89">
        <f t="shared" si="7"/>
        <v>1938.24</v>
      </c>
      <c r="H31" s="89">
        <f t="shared" si="7"/>
        <v>1938.24</v>
      </c>
      <c r="I31" s="89">
        <f t="shared" si="7"/>
        <v>1938.24</v>
      </c>
      <c r="J31" s="89">
        <f t="shared" si="7"/>
        <v>1938.24</v>
      </c>
      <c r="K31" s="89">
        <f t="shared" si="7"/>
        <v>1938.24</v>
      </c>
      <c r="L31" s="89">
        <f t="shared" si="7"/>
        <v>1696.96</v>
      </c>
      <c r="M31" s="89">
        <f t="shared" si="7"/>
        <v>1696.96</v>
      </c>
      <c r="N31" s="89">
        <f t="shared" si="7"/>
        <v>1696.96</v>
      </c>
      <c r="O31" s="54">
        <f t="shared" si="4"/>
        <v>30697.52</v>
      </c>
      <c r="P31" s="55"/>
      <c r="Q31" s="56"/>
    </row>
    <row r="32">
      <c r="A32" s="90"/>
      <c r="B32" s="91" t="s">
        <v>44</v>
      </c>
      <c r="C32" s="92">
        <f t="shared" ref="C32:N32" si="8">C9-C31</f>
        <v>105.61</v>
      </c>
      <c r="D32" s="92">
        <f t="shared" si="8"/>
        <v>1084.14</v>
      </c>
      <c r="E32" s="92">
        <f t="shared" si="8"/>
        <v>2853.28</v>
      </c>
      <c r="F32" s="92">
        <f t="shared" si="8"/>
        <v>5019.94</v>
      </c>
      <c r="G32" s="92">
        <f t="shared" si="8"/>
        <v>7257.6</v>
      </c>
      <c r="H32" s="92">
        <f t="shared" si="8"/>
        <v>9495.26</v>
      </c>
      <c r="I32" s="92">
        <f t="shared" si="8"/>
        <v>11732.92</v>
      </c>
      <c r="J32" s="92">
        <f t="shared" si="8"/>
        <v>13970.58</v>
      </c>
      <c r="K32" s="92">
        <f t="shared" si="8"/>
        <v>16208.24</v>
      </c>
      <c r="L32" s="92">
        <f t="shared" si="8"/>
        <v>24418.57</v>
      </c>
      <c r="M32" s="92">
        <f t="shared" si="8"/>
        <v>26897.51</v>
      </c>
      <c r="N32" s="92">
        <f t="shared" si="8"/>
        <v>32922.45</v>
      </c>
      <c r="O32" s="93"/>
      <c r="P32" s="93"/>
      <c r="Q32" s="94"/>
    </row>
    <row r="33" ht="1.5" customHeight="1">
      <c r="A33" s="95"/>
      <c r="B33" s="96"/>
      <c r="C33" s="97"/>
      <c r="D33" s="97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3"/>
      <c r="P33" s="93"/>
      <c r="Q33" s="94"/>
    </row>
    <row r="34">
      <c r="A34" s="12"/>
      <c r="B34" s="13" t="s">
        <v>45</v>
      </c>
      <c r="C34" s="99">
        <f t="shared" ref="C34:N34" si="9">sum(C5:C8)-sum(C14:C30)</f>
        <v>0</v>
      </c>
      <c r="D34" s="99">
        <f t="shared" si="9"/>
        <v>978.53</v>
      </c>
      <c r="E34" s="99">
        <f t="shared" si="9"/>
        <v>1769.14</v>
      </c>
      <c r="F34" s="99">
        <f t="shared" si="9"/>
        <v>2166.66</v>
      </c>
      <c r="G34" s="99">
        <f t="shared" si="9"/>
        <v>2237.66</v>
      </c>
      <c r="H34" s="99">
        <f t="shared" si="9"/>
        <v>2237.66</v>
      </c>
      <c r="I34" s="99">
        <f t="shared" si="9"/>
        <v>2237.66</v>
      </c>
      <c r="J34" s="99">
        <f t="shared" si="9"/>
        <v>2237.66</v>
      </c>
      <c r="K34" s="99">
        <f t="shared" si="9"/>
        <v>2237.66</v>
      </c>
      <c r="L34" s="99">
        <f t="shared" si="9"/>
        <v>8210.33</v>
      </c>
      <c r="M34" s="99">
        <f t="shared" si="9"/>
        <v>2478.94</v>
      </c>
      <c r="N34" s="99">
        <f t="shared" si="9"/>
        <v>6024.94</v>
      </c>
      <c r="O34" s="54">
        <f>sum(C34:N34)</f>
        <v>32816.84</v>
      </c>
      <c r="P34" s="55"/>
      <c r="Q34" s="56"/>
    </row>
    <row r="35">
      <c r="A35" s="102"/>
      <c r="B35" s="103"/>
      <c r="C35" s="104"/>
      <c r="D35" s="104"/>
      <c r="E35" s="104"/>
      <c r="F35" s="104"/>
      <c r="G35" s="104"/>
      <c r="H35" s="104"/>
      <c r="I35" s="104"/>
      <c r="J35" s="104"/>
      <c r="K35" s="105"/>
      <c r="L35" s="106"/>
      <c r="M35" s="107"/>
      <c r="N35" s="108"/>
      <c r="O35" s="16"/>
      <c r="P35" s="16"/>
      <c r="Q35" s="11"/>
    </row>
    <row r="36">
      <c r="A36" s="102"/>
      <c r="B36" s="109"/>
      <c r="C36" s="110" t="s">
        <v>47</v>
      </c>
      <c r="D36" s="111"/>
      <c r="E36" s="112"/>
      <c r="F36" s="113" t="s">
        <v>48</v>
      </c>
      <c r="G36" s="111"/>
      <c r="H36" s="112"/>
      <c r="I36" s="110" t="s">
        <v>49</v>
      </c>
      <c r="J36" s="112"/>
      <c r="K36" s="114"/>
      <c r="L36" s="115"/>
      <c r="M36" s="116"/>
      <c r="N36" s="117"/>
      <c r="O36" s="16"/>
      <c r="P36" s="16"/>
      <c r="Q36" s="11"/>
    </row>
    <row r="37">
      <c r="A37" s="102"/>
      <c r="B37" s="109"/>
      <c r="C37" s="118">
        <f>SUM(C10:N10)+sum(C7:N7)</f>
        <v>70785.76</v>
      </c>
      <c r="D37" s="119"/>
      <c r="E37" s="120"/>
      <c r="F37" s="118">
        <f>SUM(C31:N31)-sum(C24:N24)</f>
        <v>30697.52</v>
      </c>
      <c r="G37" s="119"/>
      <c r="H37" s="120"/>
      <c r="I37" s="121">
        <f>C37-F37</f>
        <v>40088.24</v>
      </c>
      <c r="J37" s="120"/>
      <c r="K37" s="109"/>
      <c r="L37" s="122"/>
      <c r="M37" s="122"/>
      <c r="N37" s="122"/>
      <c r="O37" s="16"/>
      <c r="P37" s="16"/>
      <c r="Q37" s="11"/>
    </row>
    <row r="38">
      <c r="A38" s="123"/>
      <c r="B38" s="122">
        <v>2.0</v>
      </c>
      <c r="C38" s="109"/>
      <c r="D38" s="109" t="str">
        <f>(D31+'2022_Mely'!C40)-'2022_Mely'!C7-'2022_Mely'!C8</f>
        <v>#REF!</v>
      </c>
      <c r="E38" s="109"/>
      <c r="F38" s="109"/>
      <c r="G38" s="109"/>
      <c r="H38" s="109"/>
      <c r="I38" s="122"/>
      <c r="J38" s="109"/>
      <c r="K38" s="109"/>
      <c r="L38" s="109"/>
      <c r="M38" s="122"/>
      <c r="N38" s="122"/>
      <c r="O38" s="124"/>
      <c r="P38" s="124"/>
      <c r="Q38" s="124"/>
    </row>
    <row r="39">
      <c r="A39" s="123"/>
      <c r="B39" s="122">
        <v>9.61</v>
      </c>
      <c r="C39" s="109"/>
      <c r="D39" s="109"/>
      <c r="E39" s="109"/>
      <c r="F39" s="109"/>
      <c r="G39" s="109"/>
      <c r="H39" s="109"/>
      <c r="I39" s="122"/>
      <c r="J39" s="109"/>
      <c r="K39" s="109"/>
      <c r="L39" s="109"/>
      <c r="M39" s="126"/>
      <c r="N39" s="126"/>
      <c r="O39" s="124"/>
      <c r="P39" s="124"/>
      <c r="Q39" s="124"/>
    </row>
    <row r="40">
      <c r="A40" s="123"/>
      <c r="B40" s="122">
        <v>18.15</v>
      </c>
      <c r="C40" s="125">
        <f>D32- sum(B38:B40)</f>
        <v>1054.38</v>
      </c>
      <c r="D40" s="109"/>
      <c r="E40" s="109"/>
      <c r="F40" s="109"/>
      <c r="G40" s="109"/>
      <c r="H40" s="109"/>
      <c r="I40" s="122"/>
      <c r="J40" s="109"/>
      <c r="K40" s="109"/>
      <c r="L40" s="109"/>
      <c r="M40" s="126"/>
      <c r="N40" s="126"/>
      <c r="O40" s="124"/>
      <c r="P40" s="124"/>
      <c r="Q40" s="124"/>
    </row>
    <row r="41" ht="8.25" customHeight="1">
      <c r="A41" s="127"/>
      <c r="B41" s="128"/>
      <c r="C41" s="128"/>
      <c r="D41" s="128"/>
      <c r="E41" s="128"/>
      <c r="F41" s="128"/>
      <c r="G41" s="128"/>
      <c r="H41" s="128"/>
      <c r="I41" s="129"/>
      <c r="J41" s="128"/>
      <c r="K41" s="128"/>
      <c r="L41" s="128"/>
      <c r="M41" s="129"/>
      <c r="N41" s="129"/>
      <c r="O41" s="130"/>
      <c r="P41" s="130"/>
      <c r="Q41" s="130"/>
    </row>
    <row r="42">
      <c r="A42" s="124"/>
      <c r="B42" s="124"/>
      <c r="C42" s="124"/>
      <c r="D42" s="124"/>
      <c r="E42" s="124"/>
      <c r="F42" s="124"/>
      <c r="G42" s="124"/>
      <c r="H42" s="124"/>
      <c r="I42" s="131"/>
      <c r="K42" s="124"/>
      <c r="L42" s="131"/>
      <c r="M42" s="132"/>
      <c r="N42" s="133"/>
      <c r="O42" s="124"/>
      <c r="P42" s="124"/>
      <c r="Q42" s="124"/>
    </row>
    <row r="43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</row>
    <row r="44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</row>
    <row r="4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</row>
    <row r="46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</row>
    <row r="47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</row>
    <row r="48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</row>
    <row r="49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</row>
    <row r="50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</row>
    <row r="5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</row>
    <row r="52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</row>
    <row r="5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</row>
    <row r="54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</row>
    <row r="5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</row>
    <row r="56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</row>
    <row r="57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</row>
    <row r="58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</row>
    <row r="59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</row>
    <row r="60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</row>
    <row r="6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</row>
    <row r="62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</row>
    <row r="6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</row>
    <row r="6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</row>
    <row r="66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</row>
    <row r="67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</row>
    <row r="69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</row>
    <row r="70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</row>
    <row r="72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</row>
    <row r="7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</row>
    <row r="7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</row>
    <row r="76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</row>
    <row r="77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</row>
    <row r="78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</row>
    <row r="79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</row>
    <row r="80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</row>
    <row r="84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</row>
    <row r="8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</row>
    <row r="86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</row>
    <row r="87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</row>
    <row r="88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</row>
    <row r="89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</row>
    <row r="90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</row>
    <row r="9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</row>
    <row r="92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</row>
    <row r="94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</row>
    <row r="9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</row>
    <row r="97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</row>
    <row r="98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</row>
    <row r="10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</row>
    <row r="102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</row>
    <row r="104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</row>
    <row r="10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</row>
    <row r="106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</row>
    <row r="107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</row>
    <row r="108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</row>
    <row r="109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</row>
    <row r="110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</row>
    <row r="11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</row>
    <row r="112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</row>
    <row r="11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</row>
    <row r="114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</row>
    <row r="11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</row>
    <row r="116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</row>
    <row r="117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</row>
    <row r="118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</row>
    <row r="119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</row>
    <row r="120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</row>
    <row r="12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</row>
    <row r="122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</row>
    <row r="12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</row>
    <row r="124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</row>
    <row r="1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</row>
    <row r="126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</row>
    <row r="127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</row>
    <row r="129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</row>
    <row r="13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</row>
    <row r="132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</row>
    <row r="13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</row>
    <row r="289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</row>
    <row r="290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</row>
    <row r="29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</row>
    <row r="292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</row>
    <row r="29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</row>
    <row r="294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</row>
    <row r="295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</row>
    <row r="296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</row>
    <row r="297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</row>
    <row r="298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</row>
    <row r="299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</row>
    <row r="300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</row>
    <row r="30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</row>
    <row r="302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</row>
    <row r="30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</row>
    <row r="304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</row>
    <row r="305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</row>
    <row r="306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</row>
    <row r="307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</row>
    <row r="308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</row>
    <row r="309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</row>
    <row r="310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</row>
    <row r="31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</row>
    <row r="312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</row>
    <row r="31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</row>
    <row r="314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</row>
    <row r="315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</row>
    <row r="316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</row>
    <row r="317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</row>
    <row r="318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</row>
    <row r="319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</row>
    <row r="320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</row>
    <row r="32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</row>
    <row r="322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</row>
    <row r="32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</row>
    <row r="324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</row>
    <row r="325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</row>
    <row r="326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</row>
    <row r="327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</row>
    <row r="328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</row>
    <row r="329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</row>
    <row r="330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</row>
    <row r="33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</row>
    <row r="332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</row>
    <row r="33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</row>
    <row r="334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</row>
    <row r="335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</row>
    <row r="336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</row>
    <row r="337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</row>
    <row r="338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</row>
    <row r="339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</row>
    <row r="340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</row>
    <row r="34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</row>
    <row r="342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</row>
    <row r="34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</row>
    <row r="344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</row>
    <row r="345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</row>
    <row r="346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</row>
    <row r="347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</row>
    <row r="348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</row>
    <row r="349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</row>
    <row r="350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</row>
    <row r="35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</row>
    <row r="352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</row>
    <row r="35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</row>
    <row r="354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</row>
    <row r="355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</row>
    <row r="356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</row>
    <row r="357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</row>
    <row r="358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</row>
    <row r="359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</row>
    <row r="360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</row>
    <row r="36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</row>
    <row r="362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</row>
    <row r="36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</row>
    <row r="364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</row>
    <row r="365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</row>
    <row r="366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</row>
    <row r="367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</row>
    <row r="368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</row>
    <row r="369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</row>
    <row r="370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</row>
    <row r="37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</row>
    <row r="372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</row>
    <row r="37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</row>
    <row r="374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</row>
    <row r="375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</row>
    <row r="376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</row>
    <row r="377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</row>
    <row r="378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</row>
    <row r="379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</row>
    <row r="380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</row>
    <row r="38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</row>
    <row r="382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</row>
    <row r="38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</row>
    <row r="384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</row>
    <row r="385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</row>
    <row r="386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</row>
    <row r="387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</row>
    <row r="388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</row>
    <row r="389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</row>
    <row r="390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</row>
    <row r="39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</row>
    <row r="392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</row>
    <row r="39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</row>
    <row r="394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</row>
    <row r="395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</row>
    <row r="396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</row>
    <row r="397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</row>
    <row r="398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</row>
    <row r="399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</row>
    <row r="400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</row>
    <row r="40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</row>
    <row r="402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</row>
    <row r="40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</row>
    <row r="404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</row>
    <row r="405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</row>
    <row r="406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</row>
    <row r="407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</row>
    <row r="408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</row>
    <row r="409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</row>
    <row r="410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</row>
    <row r="41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</row>
    <row r="412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</row>
    <row r="41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</row>
    <row r="414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</row>
    <row r="415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</row>
    <row r="416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</row>
    <row r="417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</row>
    <row r="418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</row>
    <row r="419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</row>
    <row r="420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</row>
    <row r="42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</row>
    <row r="422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</row>
    <row r="42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</row>
    <row r="424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</row>
    <row r="425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</row>
    <row r="426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</row>
    <row r="427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</row>
    <row r="428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</row>
    <row r="429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</row>
    <row r="430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</row>
    <row r="43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</row>
    <row r="432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</row>
    <row r="43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</row>
    <row r="434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</row>
    <row r="435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</row>
    <row r="436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</row>
    <row r="437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</row>
    <row r="438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</row>
    <row r="439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</row>
    <row r="440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</row>
    <row r="44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</row>
    <row r="442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</row>
    <row r="44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</row>
    <row r="444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</row>
    <row r="445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</row>
    <row r="446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</row>
    <row r="447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</row>
    <row r="448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</row>
    <row r="449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</row>
    <row r="450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</row>
    <row r="45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</row>
    <row r="452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</row>
    <row r="45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</row>
    <row r="454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</row>
    <row r="455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</row>
    <row r="456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</row>
    <row r="457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</row>
    <row r="458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</row>
    <row r="459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</row>
    <row r="460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</row>
    <row r="46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</row>
    <row r="462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</row>
    <row r="46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</row>
    <row r="464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</row>
    <row r="465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</row>
    <row r="466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</row>
    <row r="467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</row>
    <row r="468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</row>
    <row r="469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</row>
    <row r="470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</row>
    <row r="47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</row>
    <row r="472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</row>
    <row r="47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</row>
    <row r="474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</row>
    <row r="475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</row>
    <row r="476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</row>
    <row r="477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</row>
    <row r="478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</row>
    <row r="479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</row>
    <row r="480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</row>
    <row r="48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</row>
    <row r="482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</row>
    <row r="48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</row>
    <row r="484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</row>
    <row r="485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</row>
    <row r="486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</row>
    <row r="487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</row>
    <row r="488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</row>
    <row r="489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</row>
    <row r="490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</row>
    <row r="49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</row>
    <row r="492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</row>
    <row r="49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</row>
    <row r="494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</row>
    <row r="495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</row>
    <row r="496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</row>
    <row r="497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</row>
    <row r="498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</row>
    <row r="499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</row>
    <row r="500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</row>
    <row r="50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</row>
    <row r="502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</row>
    <row r="50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</row>
    <row r="504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</row>
    <row r="505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</row>
    <row r="506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</row>
    <row r="507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</row>
    <row r="508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</row>
    <row r="509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</row>
    <row r="510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</row>
    <row r="51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</row>
    <row r="512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</row>
    <row r="51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</row>
    <row r="514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</row>
    <row r="515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</row>
    <row r="516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</row>
    <row r="517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</row>
    <row r="518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</row>
    <row r="519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</row>
    <row r="520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</row>
    <row r="52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</row>
    <row r="522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</row>
    <row r="52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</row>
    <row r="524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</row>
    <row r="525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</row>
    <row r="526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</row>
    <row r="527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</row>
    <row r="528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</row>
    <row r="529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</row>
    <row r="530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</row>
    <row r="53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</row>
    <row r="532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</row>
    <row r="53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</row>
    <row r="534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</row>
    <row r="535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</row>
    <row r="536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</row>
    <row r="537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</row>
    <row r="538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</row>
    <row r="539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</row>
    <row r="540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</row>
    <row r="54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</row>
    <row r="542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</row>
    <row r="54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</row>
    <row r="544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</row>
    <row r="545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</row>
    <row r="546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</row>
    <row r="547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</row>
    <row r="548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</row>
    <row r="549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</row>
    <row r="550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</row>
    <row r="55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</row>
    <row r="552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</row>
    <row r="55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</row>
    <row r="554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</row>
    <row r="555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</row>
    <row r="556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</row>
    <row r="557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</row>
    <row r="558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</row>
    <row r="559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</row>
    <row r="560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</row>
    <row r="56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</row>
    <row r="562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</row>
    <row r="56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</row>
    <row r="564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</row>
    <row r="565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</row>
    <row r="566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</row>
    <row r="567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</row>
    <row r="568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</row>
    <row r="569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</row>
    <row r="570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</row>
    <row r="57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</row>
    <row r="572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</row>
    <row r="57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</row>
    <row r="574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</row>
    <row r="575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</row>
    <row r="577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</row>
    <row r="578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</row>
    <row r="579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</row>
    <row r="580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</row>
    <row r="58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</row>
    <row r="582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</row>
    <row r="58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</row>
    <row r="584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</row>
    <row r="585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</row>
    <row r="586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</row>
    <row r="587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</row>
    <row r="588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</row>
    <row r="589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</row>
    <row r="590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</row>
    <row r="59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</row>
    <row r="592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</row>
    <row r="59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</row>
    <row r="594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</row>
    <row r="595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</row>
    <row r="596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</row>
    <row r="597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</row>
    <row r="598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</row>
    <row r="599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</row>
    <row r="600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</row>
    <row r="60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</row>
    <row r="602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</row>
    <row r="60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</row>
    <row r="604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</row>
    <row r="605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</row>
    <row r="606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</row>
    <row r="607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</row>
    <row r="608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</row>
    <row r="609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</row>
    <row r="610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</row>
    <row r="61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</row>
    <row r="612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</row>
    <row r="61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</row>
    <row r="614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</row>
    <row r="615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</row>
    <row r="617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</row>
    <row r="618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</row>
    <row r="619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</row>
    <row r="620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</row>
    <row r="62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</row>
    <row r="622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</row>
    <row r="62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</row>
    <row r="624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</row>
    <row r="625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</row>
    <row r="626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</row>
    <row r="627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</row>
    <row r="628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</row>
    <row r="629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</row>
    <row r="630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</row>
    <row r="63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</row>
    <row r="632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</row>
    <row r="63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</row>
    <row r="634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</row>
    <row r="635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</row>
    <row r="636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</row>
    <row r="637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</row>
    <row r="638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</row>
    <row r="639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</row>
    <row r="640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</row>
    <row r="64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</row>
    <row r="642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</row>
    <row r="64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</row>
    <row r="644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</row>
    <row r="645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</row>
    <row r="646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</row>
    <row r="647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</row>
    <row r="648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</row>
    <row r="649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</row>
    <row r="650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</row>
    <row r="65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</row>
    <row r="652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</row>
    <row r="65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</row>
    <row r="655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</row>
    <row r="656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</row>
    <row r="657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</row>
    <row r="658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</row>
    <row r="659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</row>
    <row r="660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</row>
    <row r="66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</row>
    <row r="662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</row>
    <row r="66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</row>
    <row r="664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</row>
    <row r="665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</row>
    <row r="666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</row>
    <row r="667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</row>
    <row r="668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</row>
    <row r="669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</row>
    <row r="670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</row>
    <row r="67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</row>
    <row r="672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</row>
    <row r="67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</row>
    <row r="674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</row>
    <row r="675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</row>
    <row r="676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</row>
    <row r="677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</row>
    <row r="678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</row>
    <row r="679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</row>
    <row r="680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</row>
    <row r="68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</row>
    <row r="682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</row>
    <row r="68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</row>
    <row r="684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</row>
    <row r="685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</row>
    <row r="686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</row>
    <row r="687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</row>
    <row r="688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</row>
    <row r="689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</row>
    <row r="690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</row>
    <row r="69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</row>
    <row r="692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</row>
    <row r="69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</row>
    <row r="695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</row>
    <row r="696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</row>
    <row r="697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</row>
    <row r="698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</row>
    <row r="699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</row>
    <row r="700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</row>
    <row r="70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</row>
    <row r="702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</row>
    <row r="70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</row>
    <row r="704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</row>
    <row r="705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</row>
    <row r="706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</row>
    <row r="707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</row>
    <row r="708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</row>
    <row r="709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</row>
    <row r="710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</row>
    <row r="71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</row>
    <row r="712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</row>
    <row r="71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</row>
    <row r="714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</row>
    <row r="715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</row>
    <row r="716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</row>
    <row r="717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</row>
    <row r="718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</row>
    <row r="719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</row>
    <row r="720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</row>
    <row r="72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</row>
    <row r="722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</row>
    <row r="72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</row>
    <row r="724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</row>
    <row r="725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</row>
    <row r="726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</row>
    <row r="727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</row>
    <row r="728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</row>
    <row r="729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</row>
    <row r="730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</row>
    <row r="73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</row>
    <row r="732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</row>
    <row r="73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</row>
    <row r="734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</row>
    <row r="735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</row>
    <row r="736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</row>
    <row r="737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</row>
    <row r="738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</row>
    <row r="739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</row>
    <row r="740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</row>
    <row r="74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</row>
    <row r="742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</row>
    <row r="74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</row>
    <row r="744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</row>
    <row r="745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</row>
    <row r="746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</row>
    <row r="747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</row>
    <row r="748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</row>
    <row r="749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</row>
    <row r="750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</row>
    <row r="75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</row>
    <row r="752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</row>
    <row r="75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</row>
    <row r="754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</row>
    <row r="755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</row>
    <row r="756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</row>
    <row r="757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</row>
    <row r="758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</row>
    <row r="759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</row>
    <row r="760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</row>
    <row r="76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</row>
    <row r="762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</row>
    <row r="76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</row>
    <row r="764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</row>
    <row r="765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</row>
    <row r="766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</row>
    <row r="767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</row>
    <row r="768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</row>
    <row r="769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</row>
    <row r="770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</row>
    <row r="77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</row>
    <row r="772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</row>
    <row r="77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</row>
    <row r="774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</row>
    <row r="775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</row>
    <row r="776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</row>
    <row r="777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</row>
    <row r="778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</row>
    <row r="779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</row>
    <row r="780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</row>
    <row r="78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</row>
    <row r="782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</row>
    <row r="78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</row>
    <row r="784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</row>
    <row r="785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</row>
    <row r="786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</row>
    <row r="787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</row>
    <row r="788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</row>
    <row r="789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</row>
    <row r="790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</row>
    <row r="79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</row>
    <row r="792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</row>
    <row r="79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</row>
    <row r="794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</row>
    <row r="795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</row>
    <row r="796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</row>
    <row r="797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</row>
    <row r="798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</row>
    <row r="799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</row>
    <row r="800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</row>
    <row r="80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</row>
    <row r="802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</row>
    <row r="80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</row>
    <row r="804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</row>
    <row r="805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</row>
    <row r="806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</row>
    <row r="807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</row>
    <row r="808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</row>
    <row r="809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</row>
    <row r="810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</row>
    <row r="81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</row>
    <row r="812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</row>
    <row r="81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</row>
    <row r="814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</row>
    <row r="815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</row>
    <row r="816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</row>
    <row r="817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</row>
    <row r="818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</row>
    <row r="819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</row>
    <row r="820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</row>
    <row r="82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</row>
    <row r="822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</row>
    <row r="82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</row>
    <row r="824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</row>
    <row r="825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</row>
    <row r="826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</row>
    <row r="827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</row>
    <row r="828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</row>
    <row r="829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</row>
    <row r="830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</row>
    <row r="83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</row>
    <row r="832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</row>
    <row r="83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</row>
    <row r="834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</row>
    <row r="835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</row>
    <row r="836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</row>
    <row r="837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</row>
    <row r="838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</row>
    <row r="839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</row>
    <row r="840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</row>
    <row r="84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</row>
    <row r="842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</row>
    <row r="84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</row>
    <row r="844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</row>
    <row r="845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</row>
    <row r="846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</row>
    <row r="847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</row>
    <row r="848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</row>
    <row r="849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</row>
    <row r="850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</row>
    <row r="85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</row>
    <row r="852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</row>
    <row r="85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</row>
    <row r="854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</row>
    <row r="855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</row>
    <row r="856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</row>
    <row r="857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</row>
    <row r="858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</row>
    <row r="859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</row>
    <row r="860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</row>
    <row r="86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</row>
    <row r="862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</row>
    <row r="86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</row>
    <row r="864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</row>
    <row r="865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</row>
    <row r="866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</row>
    <row r="867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</row>
    <row r="868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</row>
    <row r="869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</row>
    <row r="870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</row>
    <row r="87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</row>
    <row r="872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</row>
    <row r="87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</row>
    <row r="874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</row>
    <row r="875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</row>
    <row r="876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</row>
    <row r="877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</row>
    <row r="878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</row>
    <row r="879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</row>
    <row r="880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</row>
    <row r="88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</row>
    <row r="882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</row>
    <row r="88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</row>
    <row r="884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</row>
    <row r="885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</row>
    <row r="886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</row>
    <row r="887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</row>
    <row r="888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</row>
    <row r="889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</row>
    <row r="890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</row>
    <row r="89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</row>
    <row r="892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</row>
    <row r="89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</row>
    <row r="894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</row>
    <row r="895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</row>
    <row r="896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</row>
    <row r="897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</row>
    <row r="898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</row>
    <row r="899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</row>
    <row r="900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</row>
    <row r="90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</row>
    <row r="902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</row>
    <row r="90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</row>
    <row r="904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</row>
    <row r="905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</row>
    <row r="906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</row>
    <row r="907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</row>
    <row r="908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</row>
    <row r="909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</row>
    <row r="910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</row>
    <row r="91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</row>
    <row r="912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</row>
    <row r="91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</row>
    <row r="914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</row>
    <row r="915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</row>
    <row r="916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</row>
    <row r="917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</row>
    <row r="918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</row>
    <row r="919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</row>
    <row r="920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</row>
    <row r="92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</row>
    <row r="922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</row>
    <row r="92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</row>
    <row r="924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</row>
    <row r="925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</row>
    <row r="926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</row>
    <row r="927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</row>
    <row r="928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</row>
    <row r="929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</row>
    <row r="930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</row>
    <row r="93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</row>
    <row r="932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</row>
    <row r="93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</row>
    <row r="934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</row>
    <row r="935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</row>
    <row r="936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</row>
    <row r="937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</row>
    <row r="938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</row>
    <row r="939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</row>
    <row r="940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</row>
  </sheetData>
  <mergeCells count="28"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F36:H36"/>
    <mergeCell ref="I36:J36"/>
    <mergeCell ref="C37:E37"/>
    <mergeCell ref="F37:H37"/>
    <mergeCell ref="I37:J37"/>
    <mergeCell ref="I42:J42"/>
    <mergeCell ref="M42:N42"/>
    <mergeCell ref="O27:Q27"/>
    <mergeCell ref="O28:Q28"/>
    <mergeCell ref="O29:Q29"/>
    <mergeCell ref="O30:Q30"/>
    <mergeCell ref="O31:Q31"/>
    <mergeCell ref="O34:Q34"/>
    <mergeCell ref="C36:E36"/>
  </mergeCells>
  <conditionalFormatting sqref="C32:N32">
    <cfRule type="cellIs" dxfId="3" priority="1" stopIfTrue="1" operator="greaterThan">
      <formula>10</formula>
    </cfRule>
  </conditionalFormatting>
  <conditionalFormatting sqref="C32:N32">
    <cfRule type="cellIs" dxfId="4" priority="2" stopIfTrue="1" operator="between">
      <formula>-9</formula>
      <formula>9</formula>
    </cfRule>
  </conditionalFormatting>
  <conditionalFormatting sqref="C32:N32">
    <cfRule type="cellIs" dxfId="5" priority="3" stopIfTrue="1" operator="lessThan">
      <formula>-10</formula>
    </cfRule>
  </conditionalFormatting>
  <conditionalFormatting sqref="C32:N32">
    <cfRule type="cellIs" dxfId="3" priority="4" stopIfTrue="1" operator="greaterThan">
      <formula>10</formula>
    </cfRule>
  </conditionalFormatting>
  <conditionalFormatting sqref="C32:N32">
    <cfRule type="cellIs" dxfId="4" priority="5" stopIfTrue="1" operator="between">
      <formula>-9</formula>
      <formula>9</formula>
    </cfRule>
  </conditionalFormatting>
  <conditionalFormatting sqref="C32:N32">
    <cfRule type="cellIs" dxfId="5" priority="6" stopIfTrue="1" operator="lessThan">
      <formula>-10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6" max="6" width="2.88"/>
    <col customWidth="1" min="7" max="7" width="8.38"/>
  </cols>
  <sheetData>
    <row r="1">
      <c r="A1" s="141" t="s">
        <v>62</v>
      </c>
    </row>
    <row r="2">
      <c r="A2" s="142" t="s">
        <v>63</v>
      </c>
      <c r="B2" s="142" t="s">
        <v>64</v>
      </c>
      <c r="C2" s="142" t="s">
        <v>65</v>
      </c>
      <c r="D2" s="142" t="s">
        <v>66</v>
      </c>
      <c r="F2" s="143" t="s">
        <v>67</v>
      </c>
      <c r="G2" s="143" t="s">
        <v>66</v>
      </c>
    </row>
    <row r="3">
      <c r="A3" s="144">
        <v>15.47</v>
      </c>
      <c r="B3" s="143" t="s">
        <v>39</v>
      </c>
      <c r="C3" s="145">
        <v>44593.0</v>
      </c>
      <c r="D3" s="146" t="str">
        <f t="shared" ref="D3:D63" si="1">if(COUNTBLANK(C3),"",VLOOKUP(MONTH(C3),$F$2:$G$14,2))</f>
        <v>fevereiro</v>
      </c>
      <c r="F3" s="143">
        <v>1.0</v>
      </c>
      <c r="G3" s="143" t="s">
        <v>4</v>
      </c>
    </row>
    <row r="4">
      <c r="A4" s="144">
        <v>28.99</v>
      </c>
      <c r="B4" s="143" t="s">
        <v>39</v>
      </c>
      <c r="C4" s="145">
        <v>44594.0</v>
      </c>
      <c r="D4" s="146" t="str">
        <f t="shared" si="1"/>
        <v>fevereiro</v>
      </c>
      <c r="F4" s="143">
        <v>2.0</v>
      </c>
      <c r="G4" s="143" t="s">
        <v>68</v>
      </c>
    </row>
    <row r="5">
      <c r="A5" s="144">
        <v>26.28</v>
      </c>
      <c r="B5" s="143" t="s">
        <v>39</v>
      </c>
      <c r="C5" s="145">
        <v>44594.0</v>
      </c>
      <c r="D5" s="146" t="str">
        <f t="shared" si="1"/>
        <v>fevereiro</v>
      </c>
      <c r="F5" s="143">
        <v>3.0</v>
      </c>
      <c r="G5" s="143" t="s">
        <v>69</v>
      </c>
    </row>
    <row r="6">
      <c r="A6" s="144">
        <v>21.49</v>
      </c>
      <c r="B6" s="143" t="s">
        <v>39</v>
      </c>
      <c r="C6" s="145">
        <v>44594.0</v>
      </c>
      <c r="D6" s="146" t="str">
        <f t="shared" si="1"/>
        <v>fevereiro</v>
      </c>
      <c r="F6" s="143">
        <v>4.0</v>
      </c>
      <c r="G6" s="143" t="s">
        <v>70</v>
      </c>
    </row>
    <row r="7">
      <c r="A7" s="144">
        <v>27.07</v>
      </c>
      <c r="B7" s="143" t="s">
        <v>39</v>
      </c>
      <c r="C7" s="145">
        <v>44594.0</v>
      </c>
      <c r="D7" s="146" t="str">
        <f t="shared" si="1"/>
        <v>fevereiro</v>
      </c>
      <c r="F7" s="143">
        <v>5.0</v>
      </c>
      <c r="G7" s="143" t="s">
        <v>71</v>
      </c>
    </row>
    <row r="8">
      <c r="A8" s="144">
        <v>7.68</v>
      </c>
      <c r="B8" s="143" t="s">
        <v>39</v>
      </c>
      <c r="C8" s="145">
        <v>44594.0</v>
      </c>
      <c r="D8" s="146" t="str">
        <f t="shared" si="1"/>
        <v>fevereiro</v>
      </c>
      <c r="F8" s="143">
        <v>6.0</v>
      </c>
      <c r="G8" s="143" t="s">
        <v>72</v>
      </c>
    </row>
    <row r="9">
      <c r="A9" s="144">
        <v>39.97</v>
      </c>
      <c r="B9" s="143" t="s">
        <v>39</v>
      </c>
      <c r="C9" s="145">
        <v>44594.0</v>
      </c>
      <c r="D9" s="146" t="str">
        <f t="shared" si="1"/>
        <v>fevereiro</v>
      </c>
      <c r="F9" s="143">
        <v>7.0</v>
      </c>
      <c r="G9" s="143" t="s">
        <v>73</v>
      </c>
    </row>
    <row r="10">
      <c r="A10" s="144">
        <v>30.21</v>
      </c>
      <c r="B10" s="143" t="s">
        <v>39</v>
      </c>
      <c r="C10" s="145">
        <v>44594.0</v>
      </c>
      <c r="D10" s="146" t="str">
        <f t="shared" si="1"/>
        <v>fevereiro</v>
      </c>
      <c r="F10" s="143">
        <v>8.0</v>
      </c>
      <c r="G10" s="143" t="s">
        <v>74</v>
      </c>
    </row>
    <row r="11">
      <c r="A11" s="144">
        <v>17.09</v>
      </c>
      <c r="B11" s="143" t="s">
        <v>39</v>
      </c>
      <c r="C11" s="145">
        <v>44594.0</v>
      </c>
      <c r="D11" s="146" t="str">
        <f t="shared" si="1"/>
        <v>fevereiro</v>
      </c>
      <c r="F11" s="143">
        <v>9.0</v>
      </c>
      <c r="G11" s="143" t="s">
        <v>75</v>
      </c>
    </row>
    <row r="12">
      <c r="A12" s="144">
        <v>35.96</v>
      </c>
      <c r="B12" s="143" t="s">
        <v>39</v>
      </c>
      <c r="C12" s="145">
        <v>44594.0</v>
      </c>
      <c r="D12" s="146" t="str">
        <f t="shared" si="1"/>
        <v>fevereiro</v>
      </c>
      <c r="F12" s="143">
        <v>10.0</v>
      </c>
      <c r="G12" s="143" t="s">
        <v>76</v>
      </c>
    </row>
    <row r="13">
      <c r="A13" s="144">
        <v>19.93</v>
      </c>
      <c r="B13" s="143" t="s">
        <v>39</v>
      </c>
      <c r="C13" s="145">
        <v>44594.0</v>
      </c>
      <c r="D13" s="146" t="str">
        <f t="shared" si="1"/>
        <v>fevereiro</v>
      </c>
      <c r="F13" s="143">
        <v>11.0</v>
      </c>
      <c r="G13" s="143" t="s">
        <v>77</v>
      </c>
    </row>
    <row r="14">
      <c r="A14" s="144">
        <v>10.0</v>
      </c>
      <c r="B14" s="143" t="s">
        <v>39</v>
      </c>
      <c r="C14" s="145">
        <v>44594.0</v>
      </c>
      <c r="D14" s="146" t="str">
        <f t="shared" si="1"/>
        <v>fevereiro</v>
      </c>
      <c r="F14" s="143">
        <v>12.0</v>
      </c>
      <c r="G14" s="143" t="s">
        <v>78</v>
      </c>
    </row>
    <row r="15">
      <c r="A15" s="144">
        <v>14.0</v>
      </c>
      <c r="B15" s="143" t="s">
        <v>39</v>
      </c>
      <c r="C15" s="145">
        <v>44594.0</v>
      </c>
      <c r="D15" s="146" t="str">
        <f t="shared" si="1"/>
        <v>fevereiro</v>
      </c>
    </row>
    <row r="16">
      <c r="A16" s="144">
        <v>26.16</v>
      </c>
      <c r="B16" s="143" t="s">
        <v>39</v>
      </c>
      <c r="C16" s="145">
        <v>44594.0</v>
      </c>
      <c r="D16" s="146" t="str">
        <f t="shared" si="1"/>
        <v>fevereiro</v>
      </c>
    </row>
    <row r="17">
      <c r="A17" s="144">
        <v>11.97</v>
      </c>
      <c r="B17" s="143" t="s">
        <v>39</v>
      </c>
      <c r="C17" s="145">
        <v>44594.0</v>
      </c>
      <c r="D17" s="146" t="str">
        <f t="shared" si="1"/>
        <v>fevereiro</v>
      </c>
    </row>
    <row r="18">
      <c r="A18" s="144">
        <v>24.91</v>
      </c>
      <c r="B18" s="143" t="s">
        <v>39</v>
      </c>
      <c r="C18" s="145">
        <v>44594.0</v>
      </c>
      <c r="D18" s="146" t="str">
        <f t="shared" si="1"/>
        <v>fevereiro</v>
      </c>
    </row>
    <row r="19">
      <c r="A19" s="144">
        <v>35.79</v>
      </c>
      <c r="B19" s="143" t="s">
        <v>39</v>
      </c>
      <c r="C19" s="145">
        <v>44594.0</v>
      </c>
      <c r="D19" s="146" t="str">
        <f t="shared" si="1"/>
        <v>fevereiro</v>
      </c>
    </row>
    <row r="20">
      <c r="A20" s="144">
        <v>18.91</v>
      </c>
      <c r="B20" s="143" t="s">
        <v>39</v>
      </c>
      <c r="C20" s="145">
        <v>44594.0</v>
      </c>
      <c r="D20" s="146" t="str">
        <f t="shared" si="1"/>
        <v>fevereiro</v>
      </c>
    </row>
    <row r="21">
      <c r="A21" s="144">
        <v>14.97</v>
      </c>
      <c r="B21" s="143" t="s">
        <v>39</v>
      </c>
      <c r="C21" s="145">
        <v>44594.0</v>
      </c>
      <c r="D21" s="146" t="str">
        <f t="shared" si="1"/>
        <v>fevereiro</v>
      </c>
    </row>
    <row r="22">
      <c r="A22" s="144">
        <v>34.31</v>
      </c>
      <c r="B22" s="143" t="s">
        <v>39</v>
      </c>
      <c r="C22" s="145">
        <v>44594.0</v>
      </c>
      <c r="D22" s="146" t="str">
        <f t="shared" si="1"/>
        <v>fevereiro</v>
      </c>
    </row>
    <row r="23">
      <c r="A23" s="144">
        <v>7.48</v>
      </c>
      <c r="B23" s="143" t="s">
        <v>39</v>
      </c>
      <c r="C23" s="145">
        <v>44594.0</v>
      </c>
      <c r="D23" s="146" t="str">
        <f t="shared" si="1"/>
        <v>fevereiro</v>
      </c>
    </row>
    <row r="24">
      <c r="A24" s="144">
        <v>11.47</v>
      </c>
      <c r="B24" s="143" t="s">
        <v>39</v>
      </c>
      <c r="C24" s="145">
        <v>44594.0</v>
      </c>
      <c r="D24" s="146" t="str">
        <f t="shared" si="1"/>
        <v>fevereiro</v>
      </c>
    </row>
    <row r="25">
      <c r="A25" s="144">
        <v>9.94</v>
      </c>
      <c r="B25" s="143" t="s">
        <v>39</v>
      </c>
      <c r="C25" s="145">
        <v>44594.0</v>
      </c>
      <c r="D25" s="146" t="str">
        <f t="shared" si="1"/>
        <v>fevereiro</v>
      </c>
    </row>
    <row r="26">
      <c r="A26" s="144">
        <v>32.49</v>
      </c>
      <c r="B26" s="143" t="s">
        <v>39</v>
      </c>
      <c r="C26" s="145">
        <v>44594.0</v>
      </c>
      <c r="D26" s="146" t="str">
        <f t="shared" si="1"/>
        <v>fevereiro</v>
      </c>
    </row>
    <row r="27">
      <c r="A27" s="144">
        <v>38.81</v>
      </c>
      <c r="B27" s="143" t="s">
        <v>39</v>
      </c>
      <c r="C27" s="145">
        <v>44594.0</v>
      </c>
      <c r="D27" s="146" t="str">
        <f t="shared" si="1"/>
        <v>fevereiro</v>
      </c>
    </row>
    <row r="28">
      <c r="A28" s="144">
        <v>6.79</v>
      </c>
      <c r="B28" s="143" t="s">
        <v>39</v>
      </c>
      <c r="C28" s="145">
        <v>44594.0</v>
      </c>
      <c r="D28" s="146" t="str">
        <f t="shared" si="1"/>
        <v>fevereiro</v>
      </c>
    </row>
    <row r="29">
      <c r="A29" s="144">
        <v>14.9</v>
      </c>
      <c r="B29" s="143" t="s">
        <v>39</v>
      </c>
      <c r="C29" s="145">
        <v>44594.0</v>
      </c>
      <c r="D29" s="146" t="str">
        <f t="shared" si="1"/>
        <v>fevereiro</v>
      </c>
    </row>
    <row r="30">
      <c r="A30" s="144">
        <v>18.59</v>
      </c>
      <c r="B30" s="143" t="s">
        <v>39</v>
      </c>
      <c r="C30" s="145">
        <v>44594.0</v>
      </c>
      <c r="D30" s="146" t="str">
        <f t="shared" si="1"/>
        <v>fevereiro</v>
      </c>
    </row>
    <row r="31">
      <c r="A31" s="144">
        <v>26.95</v>
      </c>
      <c r="B31" s="143" t="s">
        <v>39</v>
      </c>
      <c r="C31" s="145">
        <v>44594.0</v>
      </c>
      <c r="D31" s="146" t="str">
        <f t="shared" si="1"/>
        <v>fevereiro</v>
      </c>
    </row>
    <row r="32">
      <c r="A32" s="144">
        <v>8.94</v>
      </c>
      <c r="B32" s="143" t="s">
        <v>39</v>
      </c>
      <c r="C32" s="145">
        <v>44594.0</v>
      </c>
      <c r="D32" s="146" t="str">
        <f t="shared" si="1"/>
        <v>fevereiro</v>
      </c>
    </row>
    <row r="33">
      <c r="A33" s="144">
        <v>9.99</v>
      </c>
      <c r="B33" s="143" t="s">
        <v>39</v>
      </c>
      <c r="C33" s="145">
        <v>44594.0</v>
      </c>
      <c r="D33" s="146" t="str">
        <f t="shared" si="1"/>
        <v>fevereiro</v>
      </c>
    </row>
    <row r="34">
      <c r="A34" s="144">
        <v>23.91</v>
      </c>
      <c r="B34" s="143" t="s">
        <v>39</v>
      </c>
      <c r="C34" s="145">
        <v>44594.0</v>
      </c>
      <c r="D34" s="146" t="str">
        <f t="shared" si="1"/>
        <v>fevereiro</v>
      </c>
    </row>
    <row r="35">
      <c r="A35" s="144">
        <v>13.81</v>
      </c>
      <c r="B35" s="143" t="s">
        <v>39</v>
      </c>
      <c r="C35" s="145">
        <v>44594.0</v>
      </c>
      <c r="D35" s="146" t="str">
        <f t="shared" si="1"/>
        <v>fevereiro</v>
      </c>
    </row>
    <row r="36">
      <c r="A36" s="144">
        <v>27.3</v>
      </c>
      <c r="B36" s="143" t="s">
        <v>39</v>
      </c>
      <c r="C36" s="145">
        <v>44594.0</v>
      </c>
      <c r="D36" s="146" t="str">
        <f t="shared" si="1"/>
        <v>fevereiro</v>
      </c>
    </row>
    <row r="37">
      <c r="A37" s="144">
        <v>7.01</v>
      </c>
      <c r="B37" s="143" t="s">
        <v>39</v>
      </c>
      <c r="C37" s="145">
        <v>44594.0</v>
      </c>
      <c r="D37" s="146" t="str">
        <f t="shared" si="1"/>
        <v>fevereiro</v>
      </c>
    </row>
    <row r="38">
      <c r="A38" s="144">
        <v>8.9</v>
      </c>
      <c r="B38" s="143" t="s">
        <v>39</v>
      </c>
      <c r="C38" s="145">
        <v>44594.0</v>
      </c>
      <c r="D38" s="146" t="str">
        <f t="shared" si="1"/>
        <v>fevereiro</v>
      </c>
    </row>
    <row r="39">
      <c r="A39" s="144">
        <v>2.0</v>
      </c>
      <c r="B39" s="143" t="s">
        <v>39</v>
      </c>
      <c r="C39" s="145">
        <v>44594.0</v>
      </c>
      <c r="D39" s="146" t="str">
        <f t="shared" si="1"/>
        <v>fevereiro</v>
      </c>
    </row>
    <row r="40">
      <c r="A40" s="144">
        <v>7.7</v>
      </c>
      <c r="B40" s="143" t="s">
        <v>39</v>
      </c>
      <c r="C40" s="145">
        <v>44594.0</v>
      </c>
      <c r="D40" s="146" t="str">
        <f t="shared" si="1"/>
        <v>fevereiro</v>
      </c>
    </row>
    <row r="41">
      <c r="A41" s="144">
        <v>49.8</v>
      </c>
      <c r="B41" s="143" t="s">
        <v>39</v>
      </c>
      <c r="C41" s="145">
        <v>44594.0</v>
      </c>
      <c r="D41" s="146" t="str">
        <f t="shared" si="1"/>
        <v>fevereiro</v>
      </c>
    </row>
    <row r="42">
      <c r="A42" s="144">
        <v>9.46</v>
      </c>
      <c r="B42" s="143" t="s">
        <v>39</v>
      </c>
      <c r="C42" s="145">
        <v>44594.0</v>
      </c>
      <c r="D42" s="146" t="str">
        <f t="shared" si="1"/>
        <v>fevereiro</v>
      </c>
    </row>
    <row r="43">
      <c r="A43" s="144">
        <v>40.6</v>
      </c>
      <c r="B43" s="143" t="s">
        <v>39</v>
      </c>
      <c r="C43" s="145">
        <v>44594.0</v>
      </c>
      <c r="D43" s="146" t="str">
        <f t="shared" si="1"/>
        <v>fevereiro</v>
      </c>
    </row>
    <row r="44">
      <c r="A44" s="144">
        <v>13.96</v>
      </c>
      <c r="B44" s="143" t="s">
        <v>39</v>
      </c>
      <c r="C44" s="145">
        <v>44594.0</v>
      </c>
      <c r="D44" s="146" t="str">
        <f t="shared" si="1"/>
        <v>fevereiro</v>
      </c>
    </row>
    <row r="45">
      <c r="A45" s="144">
        <v>27.24</v>
      </c>
      <c r="B45" s="143" t="s">
        <v>39</v>
      </c>
      <c r="C45" s="145">
        <v>44594.0</v>
      </c>
      <c r="D45" s="146" t="str">
        <f t="shared" si="1"/>
        <v>fevereiro</v>
      </c>
    </row>
    <row r="46">
      <c r="A46" s="144">
        <v>29.92</v>
      </c>
      <c r="B46" s="143" t="s">
        <v>39</v>
      </c>
      <c r="C46" s="145">
        <v>44604.0</v>
      </c>
      <c r="D46" s="146" t="str">
        <f t="shared" si="1"/>
        <v>fevereiro</v>
      </c>
    </row>
    <row r="47">
      <c r="A47" s="144"/>
      <c r="B47" s="143"/>
      <c r="C47" s="145"/>
      <c r="D47" s="146" t="str">
        <f t="shared" si="1"/>
        <v/>
      </c>
    </row>
    <row r="48">
      <c r="A48" s="144"/>
      <c r="B48" s="143"/>
      <c r="C48" s="145"/>
      <c r="D48" s="146" t="str">
        <f t="shared" si="1"/>
        <v/>
      </c>
    </row>
    <row r="49">
      <c r="A49" s="144"/>
      <c r="B49" s="143"/>
      <c r="C49" s="145"/>
      <c r="D49" s="146" t="str">
        <f t="shared" si="1"/>
        <v/>
      </c>
    </row>
    <row r="50">
      <c r="A50" s="144"/>
      <c r="B50" s="143"/>
      <c r="C50" s="145"/>
      <c r="D50" s="146" t="str">
        <f t="shared" si="1"/>
        <v/>
      </c>
    </row>
    <row r="51">
      <c r="A51" s="144"/>
      <c r="B51" s="143"/>
      <c r="C51" s="145"/>
      <c r="D51" s="146" t="str">
        <f t="shared" si="1"/>
        <v/>
      </c>
    </row>
    <row r="52">
      <c r="A52" s="144"/>
      <c r="B52" s="143"/>
      <c r="C52" s="145"/>
      <c r="D52" s="146" t="str">
        <f t="shared" si="1"/>
        <v/>
      </c>
    </row>
    <row r="53">
      <c r="A53" s="144"/>
      <c r="B53" s="143"/>
      <c r="C53" s="145"/>
      <c r="D53" s="146" t="str">
        <f t="shared" si="1"/>
        <v/>
      </c>
    </row>
    <row r="54">
      <c r="A54" s="144">
        <v>500.0</v>
      </c>
      <c r="B54" s="143" t="s">
        <v>39</v>
      </c>
      <c r="C54" s="145">
        <v>44896.0</v>
      </c>
      <c r="D54" s="146" t="str">
        <f t="shared" si="1"/>
        <v>dezembro</v>
      </c>
    </row>
    <row r="55">
      <c r="A55" s="144">
        <v>500.0</v>
      </c>
      <c r="B55" s="143" t="s">
        <v>39</v>
      </c>
      <c r="C55" s="145">
        <v>44866.0</v>
      </c>
      <c r="D55" s="146" t="str">
        <f t="shared" si="1"/>
        <v>novembro</v>
      </c>
    </row>
    <row r="56">
      <c r="A56" s="144">
        <v>500.0</v>
      </c>
      <c r="B56" s="143" t="s">
        <v>39</v>
      </c>
      <c r="C56" s="145">
        <v>44835.0</v>
      </c>
      <c r="D56" s="146" t="str">
        <f t="shared" si="1"/>
        <v>outubro</v>
      </c>
    </row>
    <row r="57">
      <c r="A57" s="144">
        <v>500.0</v>
      </c>
      <c r="B57" s="143" t="s">
        <v>39</v>
      </c>
      <c r="C57" s="145">
        <v>44621.0</v>
      </c>
      <c r="D57" s="146" t="str">
        <f t="shared" si="1"/>
        <v>março</v>
      </c>
    </row>
    <row r="58">
      <c r="A58" s="144">
        <v>500.0</v>
      </c>
      <c r="B58" s="143" t="s">
        <v>39</v>
      </c>
      <c r="C58" s="145">
        <v>44653.0</v>
      </c>
      <c r="D58" s="146" t="str">
        <f t="shared" si="1"/>
        <v>abril</v>
      </c>
    </row>
    <row r="59">
      <c r="A59" s="144">
        <v>500.0</v>
      </c>
      <c r="B59" s="143" t="s">
        <v>39</v>
      </c>
      <c r="C59" s="145">
        <v>44684.0</v>
      </c>
      <c r="D59" s="146" t="str">
        <f t="shared" si="1"/>
        <v>maio</v>
      </c>
    </row>
    <row r="60">
      <c r="A60" s="144">
        <v>500.0</v>
      </c>
      <c r="B60" s="143" t="s">
        <v>39</v>
      </c>
      <c r="C60" s="145">
        <v>44716.0</v>
      </c>
      <c r="D60" s="146" t="str">
        <f t="shared" si="1"/>
        <v>junho</v>
      </c>
    </row>
    <row r="61">
      <c r="A61" s="144">
        <v>500.0</v>
      </c>
      <c r="B61" s="143" t="s">
        <v>39</v>
      </c>
      <c r="C61" s="145">
        <v>44747.0</v>
      </c>
      <c r="D61" s="146" t="str">
        <f t="shared" si="1"/>
        <v>julho</v>
      </c>
    </row>
    <row r="62">
      <c r="A62" s="144">
        <v>500.0</v>
      </c>
      <c r="B62" s="143" t="s">
        <v>39</v>
      </c>
      <c r="C62" s="145">
        <v>44779.0</v>
      </c>
      <c r="D62" s="146" t="str">
        <f t="shared" si="1"/>
        <v>agosto</v>
      </c>
    </row>
    <row r="63">
      <c r="A63" s="144">
        <v>500.0</v>
      </c>
      <c r="B63" s="143" t="s">
        <v>39</v>
      </c>
      <c r="C63" s="145">
        <v>44811.0</v>
      </c>
      <c r="D63" s="146" t="str">
        <f t="shared" si="1"/>
        <v>setembro</v>
      </c>
    </row>
  </sheetData>
  <mergeCells count="1">
    <mergeCell ref="A1:D1"/>
  </mergeCells>
  <dataValidations>
    <dataValidation type="list" allowBlank="1" sqref="B3:B63">
      <formula1>'2022_Fabio'!$B$14:$B$30</formula1>
    </dataValidation>
  </dataValidations>
  <drawing r:id="rId1"/>
</worksheet>
</file>